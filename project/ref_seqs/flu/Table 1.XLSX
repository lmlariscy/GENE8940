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7040700\7040708-Maeda\Delivery\"/>
    </mc:Choice>
  </mc:AlternateContent>
  <xr:revisionPtr revIDLastSave="0" documentId="13_ncr:1_{01A89A1A-379C-417C-A965-C76AFEC3CE25}" xr6:coauthVersionLast="36" xr6:coauthVersionMax="36" xr10:uidLastSave="{00000000-0000-0000-0000-000000000000}"/>
  <bookViews>
    <workbookView xWindow="0" yWindow="0" windowWidth="21576" windowHeight="7380" activeTab="4" xr2:uid="{00000000-000D-0000-FFFF-FFFF00000000}"/>
  </bookViews>
  <sheets>
    <sheet name="TableS1" sheetId="8" r:id="rId1"/>
    <sheet name="TableS2" sheetId="4" r:id="rId2"/>
    <sheet name="Table S3" sheetId="10" r:id="rId3"/>
    <sheet name="Table S4" sheetId="6" r:id="rId4"/>
    <sheet name="Table S5" sheetId="7" r:id="rId5"/>
  </sheets>
  <definedNames>
    <definedName name="_xlnm.Print_Area" localSheetId="3">'Table S4'!$A$1:$Q$37</definedName>
    <definedName name="_xlnm.Print_Area" localSheetId="4">'Table S5'!$A$1:$P$16</definedName>
    <definedName name="_xlnm.Print_Area" localSheetId="0">TableS1!$A$3:$D$60</definedName>
    <definedName name="_xlnm.Print_Area" localSheetId="1">TableS2!$A$2:$AE$32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4" i="6" l="1"/>
  <c r="C23" i="6"/>
  <c r="C22" i="6"/>
  <c r="C21" i="6"/>
  <c r="B24" i="6"/>
  <c r="B23" i="6"/>
  <c r="B22" i="6"/>
  <c r="B21" i="6"/>
</calcChain>
</file>

<file path=xl/sharedStrings.xml><?xml version="1.0" encoding="utf-8"?>
<sst xmlns="http://schemas.openxmlformats.org/spreadsheetml/2006/main" count="735" uniqueCount="252">
  <si>
    <t>HA</t>
  </si>
  <si>
    <t>NP</t>
  </si>
  <si>
    <t>NA</t>
  </si>
  <si>
    <t>M</t>
  </si>
  <si>
    <t>NS1</t>
  </si>
  <si>
    <t>Unclassified</t>
  </si>
  <si>
    <t>Total</t>
  </si>
  <si>
    <t>1D</t>
    <phoneticPr fontId="1"/>
  </si>
  <si>
    <t xml:space="preserve">PA   </t>
    <phoneticPr fontId="1"/>
  </si>
  <si>
    <t xml:space="preserve">PB1 </t>
    <phoneticPr fontId="1"/>
  </si>
  <si>
    <t xml:space="preserve">PB2 </t>
    <phoneticPr fontId="1"/>
  </si>
  <si>
    <t>2367bp</t>
    <phoneticPr fontId="1"/>
  </si>
  <si>
    <t>2340bp</t>
    <phoneticPr fontId="1"/>
  </si>
  <si>
    <t>2275bp</t>
    <phoneticPr fontId="1"/>
  </si>
  <si>
    <t>1853bp</t>
    <phoneticPr fontId="1"/>
  </si>
  <si>
    <t>1816bp</t>
    <phoneticPr fontId="1"/>
  </si>
  <si>
    <t>1530bp</t>
    <phoneticPr fontId="1"/>
  </si>
  <si>
    <t>1155bp</t>
    <phoneticPr fontId="1"/>
  </si>
  <si>
    <t>1062bp</t>
    <phoneticPr fontId="1"/>
  </si>
  <si>
    <t>865bp</t>
    <phoneticPr fontId="1"/>
  </si>
  <si>
    <t>1002bp</t>
    <phoneticPr fontId="1"/>
  </si>
  <si>
    <t>1441bp</t>
    <phoneticPr fontId="1"/>
  </si>
  <si>
    <t>1542bp</t>
    <phoneticPr fontId="1"/>
  </si>
  <si>
    <t>1737bp</t>
    <phoneticPr fontId="1"/>
  </si>
  <si>
    <t>2209bp</t>
    <phoneticPr fontId="1"/>
  </si>
  <si>
    <t>2316bp</t>
    <phoneticPr fontId="1"/>
  </si>
  <si>
    <t>Total</t>
    <phoneticPr fontId="1"/>
  </si>
  <si>
    <t>Total error rate (%)</t>
    <phoneticPr fontId="1"/>
  </si>
  <si>
    <t>Insert error rate (%)</t>
    <phoneticPr fontId="1"/>
  </si>
  <si>
    <t>Measure</t>
  </si>
  <si>
    <t>Value</t>
  </si>
  <si>
    <t>Precision</t>
  </si>
  <si>
    <t>Accuracy</t>
  </si>
  <si>
    <t>Recall</t>
    <phoneticPr fontId="1"/>
  </si>
  <si>
    <t>1D</t>
    <phoneticPr fontId="1"/>
  </si>
  <si>
    <t>Specificity</t>
    <phoneticPr fontId="1"/>
  </si>
  <si>
    <t>Primer Type</t>
  </si>
  <si>
    <t>Primer name</t>
  </si>
  <si>
    <t>Sequence 5′- 3′</t>
  </si>
  <si>
    <t>Fw</t>
  </si>
  <si>
    <t>Uni12/Inf-1</t>
  </si>
  <si>
    <t>GGGGGGAGCAAAAGCAGG</t>
  </si>
  <si>
    <t>Uni12/Inf-3</t>
  </si>
  <si>
    <t>GGGGGGAGCGAAAGCAGG</t>
  </si>
  <si>
    <t>Rv</t>
  </si>
  <si>
    <t>Uni13/Inf-1</t>
  </si>
  <si>
    <t>CGGGTTATTAGTAGAAACAAGG</t>
  </si>
  <si>
    <t>Uni13/Inf-1-Bc</t>
  </si>
  <si>
    <t>ACAGCATCAATGTTTGGCTAGTTG</t>
  </si>
  <si>
    <t>GATGTAGAGGGTACGGTTTGAGGC</t>
  </si>
  <si>
    <t>GGCTCCATAGGAACTCACGCTACT</t>
  </si>
  <si>
    <t>GATTGTCCTCAAACTGCCACCTAC</t>
  </si>
  <si>
    <t>CCTGTCTGGAAGAAGAATGGACTT</t>
  </si>
  <si>
    <t>CTGAACGGTCATAGAGTCCACCAT</t>
  </si>
  <si>
    <t>B-PBs-UniF</t>
  </si>
  <si>
    <t>GGGGGGAGCAGAAGCGGAGC</t>
  </si>
  <si>
    <t>B-PBs-UniR</t>
  </si>
  <si>
    <t>B-PA-UniF</t>
  </si>
  <si>
    <t>GGGGGGAGCAGAAGCGGTGC</t>
  </si>
  <si>
    <t>B-PA-UniR</t>
  </si>
  <si>
    <t>CCGGGTTATTAGTAGAAACACGTGC</t>
  </si>
  <si>
    <t>HANA-UniF</t>
  </si>
  <si>
    <t>GGGGGGAGCAGAAGCAGAGC</t>
  </si>
  <si>
    <t>HANA-UniR</t>
  </si>
  <si>
    <t>CCGGGTTATTAGTAGTAACAAGAGC</t>
  </si>
  <si>
    <t>NP-UniF</t>
  </si>
  <si>
    <t>GGGGGGAGCAGAAGCACAGC</t>
  </si>
  <si>
    <t>NP-UniR</t>
  </si>
  <si>
    <t>M-Uni3F</t>
  </si>
  <si>
    <t>GGGGGGAGCAGAAGCACGCACTT</t>
  </si>
  <si>
    <t>Mg-Uni3F</t>
  </si>
  <si>
    <t>GGGGGGAGCAGAAGCAGGCACTT</t>
  </si>
  <si>
    <t>M-Uni3R</t>
  </si>
  <si>
    <t>CCGGGTTATTAGTAGAAACAACGCACTT</t>
  </si>
  <si>
    <t>NS-Uni3F</t>
  </si>
  <si>
    <t>GGGGGGAGCAGAAGCAGAGGATT</t>
  </si>
  <si>
    <t>NS-Uni3R</t>
  </si>
  <si>
    <t>GAGTCTTGTGTCCCAGTTACCAGG</t>
  </si>
  <si>
    <t>TTCGGATTCTATCGTGTTTCCCTA</t>
  </si>
  <si>
    <t>CTTGTCCAGGGTTTGTGTAACCTT</t>
  </si>
  <si>
    <t>TTCTCGCAAAGGCAGAAAGTAGTC</t>
  </si>
  <si>
    <t>GTGTTACCGTGGGAATGAATCCTT</t>
  </si>
  <si>
    <t>AACTAGGCACAGCGAGTCTTGGTT</t>
  </si>
  <si>
    <t>AAGCGTTGAAACCTTTGTCCTCTC</t>
  </si>
  <si>
    <t>Sample 1</t>
    <phoneticPr fontId="1"/>
  </si>
  <si>
    <t>Sample 2</t>
    <phoneticPr fontId="1"/>
  </si>
  <si>
    <t>Sample 3</t>
  </si>
  <si>
    <t>Sample 3</t>
    <phoneticPr fontId="1"/>
  </si>
  <si>
    <t>Sample 4</t>
  </si>
  <si>
    <t>Sample 5</t>
  </si>
  <si>
    <t>Sample 6</t>
  </si>
  <si>
    <t>Sample 6</t>
    <phoneticPr fontId="1"/>
  </si>
  <si>
    <t>Sample 7</t>
    <phoneticPr fontId="1"/>
  </si>
  <si>
    <t>Sample 8</t>
    <phoneticPr fontId="1"/>
  </si>
  <si>
    <t>Sample 9</t>
  </si>
  <si>
    <t>Sample 9</t>
    <phoneticPr fontId="1"/>
  </si>
  <si>
    <t>Sample 10</t>
  </si>
  <si>
    <t>Sample 11</t>
  </si>
  <si>
    <t>Sample 12</t>
  </si>
  <si>
    <t>Sample 13</t>
  </si>
  <si>
    <t>Sample 13</t>
    <phoneticPr fontId="1"/>
  </si>
  <si>
    <t>Sample 2</t>
    <phoneticPr fontId="1"/>
  </si>
  <si>
    <t>Sample 8</t>
    <phoneticPr fontId="1"/>
  </si>
  <si>
    <t>Influenza B virus</t>
    <phoneticPr fontId="1"/>
  </si>
  <si>
    <t>Influenza A virus</t>
    <phoneticPr fontId="1"/>
  </si>
  <si>
    <t>Sample 7</t>
    <phoneticPr fontId="1"/>
  </si>
  <si>
    <t>GGGGGGAGCAAAAGCAGG</t>
    <phoneticPr fontId="1"/>
  </si>
  <si>
    <t>GGGGGGAGCGAAAGCAGG</t>
    <phoneticPr fontId="1"/>
  </si>
  <si>
    <t>[***]- CGGGTTATTAGTAGAAACAAGG</t>
    <phoneticPr fontId="1"/>
  </si>
  <si>
    <t>CCGGGTTATTAGTAGAAACAACAGC</t>
    <phoneticPr fontId="1"/>
  </si>
  <si>
    <t>CCGGGTTATTAGTAGTAACAAGAGGATT</t>
    <phoneticPr fontId="1"/>
  </si>
  <si>
    <t>[***]-CCGGGTTATTAGTAG</t>
    <phoneticPr fontId="1"/>
  </si>
  <si>
    <t>GGGGGGAGCAGAAGCGGAGC</t>
    <phoneticPr fontId="1"/>
  </si>
  <si>
    <t>CCGGGTTATTAGTAGAAACACGAGC</t>
    <phoneticPr fontId="1"/>
  </si>
  <si>
    <t>UniR-Bc</t>
    <phoneticPr fontId="1"/>
  </si>
  <si>
    <t>1D</t>
  </si>
  <si>
    <t xml:space="preserve">PB2 </t>
  </si>
  <si>
    <t>2316bp</t>
  </si>
  <si>
    <t xml:space="preserve">PB1 </t>
  </si>
  <si>
    <t xml:space="preserve">PA   </t>
  </si>
  <si>
    <t>2209bp</t>
  </si>
  <si>
    <t>1737bp</t>
  </si>
  <si>
    <t>1542bp</t>
  </si>
  <si>
    <t>1441bp</t>
  </si>
  <si>
    <t>1002bp</t>
  </si>
  <si>
    <t>865bp</t>
  </si>
  <si>
    <t>2367bp</t>
  </si>
  <si>
    <t>2340bp</t>
  </si>
  <si>
    <t>2275bp</t>
  </si>
  <si>
    <t>1853bp</t>
  </si>
  <si>
    <t>1816bp</t>
  </si>
  <si>
    <t>1530bp</t>
  </si>
  <si>
    <t>1155bp</t>
  </si>
  <si>
    <t>1062bp</t>
  </si>
  <si>
    <t>Total=14328 bp</t>
  </si>
  <si>
    <t>PB2=2316 bp</t>
  </si>
  <si>
    <t>PB1 = 2316 bp</t>
  </si>
  <si>
    <t>PA = 2209 bp</t>
  </si>
  <si>
    <t>HA = 1737 bp</t>
  </si>
  <si>
    <t>NP = 1542 bp</t>
  </si>
  <si>
    <t>NA = 1441 bp</t>
  </si>
  <si>
    <t>M = 1002 bp</t>
  </si>
  <si>
    <t>NS = 865 bp</t>
  </si>
  <si>
    <t>Sample 1</t>
  </si>
  <si>
    <t>13421 /13428</t>
  </si>
  <si>
    <t>2314 /2316</t>
  </si>
  <si>
    <t>2316 /2316</t>
  </si>
  <si>
    <t>2208 /2209</t>
  </si>
  <si>
    <t>1735 /1737</t>
  </si>
  <si>
    <t>1540 /1542</t>
  </si>
  <si>
    <t>1441 /1441</t>
  </si>
  <si>
    <t>1002 /1002</t>
  </si>
  <si>
    <t>865 /865</t>
  </si>
  <si>
    <t>13426 /13428</t>
  </si>
  <si>
    <t>2209 /2209</t>
  </si>
  <si>
    <t>1737 /1737</t>
  </si>
  <si>
    <t>Sample 2</t>
  </si>
  <si>
    <t>13423 /13428</t>
  </si>
  <si>
    <t>2315 /2316</t>
  </si>
  <si>
    <t>1734 /1737</t>
  </si>
  <si>
    <t>1541 /1542</t>
  </si>
  <si>
    <t>13428 /13428</t>
  </si>
  <si>
    <t>1542 /1542</t>
  </si>
  <si>
    <t>13425 /13428</t>
  </si>
  <si>
    <t>13414 /13428</t>
  </si>
  <si>
    <t>2307 /2316</t>
  </si>
  <si>
    <t>13420 /13428</t>
  </si>
  <si>
    <t>2308 /2316</t>
  </si>
  <si>
    <t>2313 /2316</t>
  </si>
  <si>
    <t>2203 /2209</t>
  </si>
  <si>
    <t>1539 /1542</t>
  </si>
  <si>
    <t>1439 /1441</t>
  </si>
  <si>
    <t>2207 /2209</t>
  </si>
  <si>
    <t>1440 /1441</t>
  </si>
  <si>
    <t>13419 /13428</t>
  </si>
  <si>
    <t>1438 /1441</t>
  </si>
  <si>
    <t>1001 /1002</t>
  </si>
  <si>
    <t>13424 /13428</t>
  </si>
  <si>
    <t>1736 /1737</t>
  </si>
  <si>
    <t>Total=14362 bp</t>
  </si>
  <si>
    <t>PB2=2367 bp</t>
  </si>
  <si>
    <t>PB1 = 2340 bp</t>
  </si>
  <si>
    <t>PA = 2275 bp</t>
  </si>
  <si>
    <t>HA = 1853 bp</t>
  </si>
  <si>
    <t>NP = 1816 bp</t>
  </si>
  <si>
    <t>NA = 1530 bp</t>
  </si>
  <si>
    <t>M = 1155 bp</t>
  </si>
  <si>
    <t>NS = 1026 bp</t>
  </si>
  <si>
    <t>Sample 7</t>
  </si>
  <si>
    <t>14361 /14362</t>
  </si>
  <si>
    <t>2367 /2367</t>
  </si>
  <si>
    <t>2340 /2340</t>
  </si>
  <si>
    <t>2275 /2275</t>
  </si>
  <si>
    <t>1853 /1853</t>
  </si>
  <si>
    <t>1816 /1816</t>
  </si>
  <si>
    <t>1530 /1530</t>
  </si>
  <si>
    <t>1154 /1155</t>
  </si>
  <si>
    <t>1026 /1026</t>
  </si>
  <si>
    <t>14362 /14362</t>
  </si>
  <si>
    <t>1155 /1155</t>
  </si>
  <si>
    <t>Sample 8</t>
  </si>
  <si>
    <t>14344 /14362</t>
  </si>
  <si>
    <t>2360 /2367</t>
  </si>
  <si>
    <t>2270 /2275</t>
  </si>
  <si>
    <t>1851 /1853</t>
  </si>
  <si>
    <t>1814 /1816</t>
  </si>
  <si>
    <t>1025 /1026</t>
  </si>
  <si>
    <t>14350 /14362</t>
  </si>
  <si>
    <t>2362 /2367</t>
  </si>
  <si>
    <t>2272 /2275</t>
  </si>
  <si>
    <t>14356 /14362</t>
  </si>
  <si>
    <t>2366 /2367</t>
  </si>
  <si>
    <t>2274 /2275</t>
  </si>
  <si>
    <t>14358 /14362</t>
  </si>
  <si>
    <t>14351 /14362</t>
  </si>
  <si>
    <t>1523 /1530</t>
  </si>
  <si>
    <t>14352 /14362</t>
  </si>
  <si>
    <t>14355 /14362</t>
  </si>
  <si>
    <t>1150 /1155</t>
  </si>
  <si>
    <t/>
  </si>
  <si>
    <t>13423 /13428</t>
    <phoneticPr fontId="1"/>
  </si>
  <si>
    <t>Influenza A virus</t>
  </si>
  <si>
    <t>Match bases/total bases (%)</t>
  </si>
  <si>
    <t>Deletion error rate (%)</t>
  </si>
  <si>
    <t>False negative rate</t>
  </si>
  <si>
    <t>Negative predictive value</t>
  </si>
  <si>
    <t>False positive rate</t>
  </si>
  <si>
    <t>False discovery rate</t>
  </si>
  <si>
    <t>F score</t>
  </si>
  <si>
    <t>Table S2. Analysis of mapped reads of MinION sequencer for reference genomes of influenza A and B viruses</t>
  </si>
  <si>
    <t>Number of mapped reads (%)</t>
  </si>
  <si>
    <t>Number of mapped bases (coverage)</t>
  </si>
  <si>
    <t>Table S3. Results of variant calling based on MinION sequencer reads</t>
  </si>
  <si>
    <t>Number of true positives</t>
  </si>
  <si>
    <t>Number of false negatives</t>
  </si>
  <si>
    <t>Number of true negatives</t>
  </si>
  <si>
    <t>Number of false positives</t>
  </si>
  <si>
    <t>Table S1. Primer sets for multiplex RT-PCR and nested PCR for influenza A and B viruses</t>
    <phoneticPr fontId="1"/>
  </si>
  <si>
    <t>*** Barcode sequence of MinION sequencer</t>
    <phoneticPr fontId="1"/>
  </si>
  <si>
    <t>Multiplex RT-PCR for Influenza A virus</t>
    <phoneticPr fontId="1"/>
  </si>
  <si>
    <t>Multiplex RT-PCR for Influenza B virus</t>
    <phoneticPr fontId="1"/>
  </si>
  <si>
    <t>Primer type</t>
    <phoneticPr fontId="1"/>
  </si>
  <si>
    <t>Nested PCR with barcode tags of MinION sequencer for Influenza B virus</t>
    <phoneticPr fontId="1"/>
  </si>
  <si>
    <t>Nested PCR with barcode tags of MinION sequencer for Influenza A virus</t>
    <phoneticPr fontId="1"/>
  </si>
  <si>
    <t>Rv-Barcode</t>
    <phoneticPr fontId="1"/>
  </si>
  <si>
    <t>Barcode sequences for Influenza B virus</t>
    <phoneticPr fontId="1"/>
  </si>
  <si>
    <t>Barcode sequences for Influenza A virus</t>
    <phoneticPr fontId="1"/>
  </si>
  <si>
    <r>
      <t>1D</t>
    </r>
    <r>
      <rPr>
        <vertAlign val="superscript"/>
        <sz val="11"/>
        <color theme="1"/>
        <rFont val="ＭＳ Ｐゴシック"/>
        <family val="3"/>
        <charset val="128"/>
        <scheme val="minor"/>
      </rPr>
      <t>2</t>
    </r>
    <phoneticPr fontId="1"/>
  </si>
  <si>
    <r>
      <t>1D</t>
    </r>
    <r>
      <rPr>
        <vertAlign val="superscript"/>
        <sz val="11"/>
        <color theme="1"/>
        <rFont val="ＭＳ Ｐゴシック"/>
        <family val="3"/>
        <charset val="128"/>
        <scheme val="minor"/>
      </rPr>
      <t>2</t>
    </r>
    <phoneticPr fontId="1"/>
  </si>
  <si>
    <r>
      <t>1D</t>
    </r>
    <r>
      <rPr>
        <vertAlign val="superscript"/>
        <sz val="11"/>
        <color theme="1"/>
        <rFont val="ＭＳ Ｐゴシック"/>
        <family val="3"/>
        <charset val="128"/>
        <scheme val="minor"/>
      </rPr>
      <t>2</t>
    </r>
    <phoneticPr fontId="1"/>
  </si>
  <si>
    <t>Table S5. Calculation of the error rate of MinION sequencer 1D and 1D2 reads</t>
    <phoneticPr fontId="1"/>
  </si>
  <si>
    <t>Table S4. Calculation of the variant calling results between MinION sequencer and Illumina MiSeq platform data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</si>
</sst>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0_);[Red]\(0.00\)"/>
    <numFmt numFmtId="179" formatCode="0_ 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vertAlign val="superscript"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2" xfId="0" applyNumberFormat="1" applyBorder="1">
      <alignment vertical="center"/>
    </xf>
    <xf numFmtId="177" fontId="0" fillId="0" borderId="0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0" xfId="0">
      <alignment vertical="center"/>
    </xf>
    <xf numFmtId="177" fontId="0" fillId="0" borderId="3" xfId="0" applyNumberFormat="1" applyBorder="1">
      <alignment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7" fontId="0" fillId="0" borderId="0" xfId="0" applyNumberFormat="1" applyFill="1" applyBorder="1" applyAlignment="1">
      <alignment horizontal="right" vertical="center"/>
    </xf>
    <xf numFmtId="177" fontId="0" fillId="0" borderId="2" xfId="0" applyNumberFormat="1" applyFill="1" applyBorder="1" applyAlignment="1">
      <alignment horizontal="right" vertical="center"/>
    </xf>
    <xf numFmtId="177" fontId="0" fillId="0" borderId="3" xfId="0" applyNumberFormat="1" applyFill="1" applyBorder="1" applyAlignment="1">
      <alignment horizontal="right" vertical="center"/>
    </xf>
    <xf numFmtId="178" fontId="0" fillId="0" borderId="0" xfId="0" applyNumberFormat="1" applyBorder="1" applyAlignment="1"/>
    <xf numFmtId="178" fontId="0" fillId="0" borderId="3" xfId="0" applyNumberFormat="1" applyBorder="1" applyAlignment="1"/>
    <xf numFmtId="0" fontId="0" fillId="0" borderId="0" xfId="0" applyAlignment="1">
      <alignment horizontal="center" vertical="center"/>
    </xf>
    <xf numFmtId="178" fontId="0" fillId="0" borderId="1" xfId="0" applyNumberFormat="1" applyBorder="1" applyAlignment="1"/>
    <xf numFmtId="178" fontId="0" fillId="0" borderId="0" xfId="0" applyNumberFormat="1">
      <alignment vertical="center"/>
    </xf>
    <xf numFmtId="0" fontId="0" fillId="0" borderId="0" xfId="0" applyFill="1" applyBorder="1">
      <alignment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0" fontId="0" fillId="0" borderId="0" xfId="0" applyNumberFormat="1" applyBorder="1">
      <alignment vertical="center"/>
    </xf>
    <xf numFmtId="179" fontId="0" fillId="0" borderId="0" xfId="0" applyNumberFormat="1" applyBorder="1">
      <alignment vertical="center"/>
    </xf>
    <xf numFmtId="0" fontId="0" fillId="0" borderId="3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0" fontId="0" fillId="0" borderId="0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opLeftCell="A25" zoomScaleNormal="100" workbookViewId="0">
      <selection activeCell="B46" sqref="B46"/>
    </sheetView>
  </sheetViews>
  <sheetFormatPr defaultColWidth="8.88671875" defaultRowHeight="13.2" x14ac:dyDescent="0.2"/>
  <cols>
    <col min="1" max="1" width="20.44140625" customWidth="1"/>
    <col min="2" max="2" width="15.44140625" customWidth="1"/>
    <col min="3" max="3" width="36.44140625" customWidth="1"/>
  </cols>
  <sheetData>
    <row r="1" spans="1:8" s="18" customFormat="1" x14ac:dyDescent="0.2">
      <c r="A1" s="18" t="s">
        <v>237</v>
      </c>
      <c r="D1" s="3"/>
      <c r="E1" s="3"/>
      <c r="F1" s="3"/>
      <c r="H1" s="3"/>
    </row>
    <row r="2" spans="1:8" s="18" customFormat="1" x14ac:dyDescent="0.2"/>
    <row r="3" spans="1:8" x14ac:dyDescent="0.2">
      <c r="A3" t="s">
        <v>239</v>
      </c>
    </row>
    <row r="4" spans="1:8" x14ac:dyDescent="0.2">
      <c r="A4" s="20" t="s">
        <v>36</v>
      </c>
      <c r="B4" s="20" t="s">
        <v>37</v>
      </c>
      <c r="C4" s="20" t="s">
        <v>38</v>
      </c>
    </row>
    <row r="5" spans="1:8" x14ac:dyDescent="0.2">
      <c r="A5" s="20" t="s">
        <v>39</v>
      </c>
      <c r="B5" s="20" t="s">
        <v>40</v>
      </c>
      <c r="C5" s="20" t="s">
        <v>106</v>
      </c>
    </row>
    <row r="6" spans="1:8" x14ac:dyDescent="0.2">
      <c r="A6" s="19" t="s">
        <v>39</v>
      </c>
      <c r="B6" s="19" t="s">
        <v>42</v>
      </c>
      <c r="C6" s="19" t="s">
        <v>107</v>
      </c>
    </row>
    <row r="7" spans="1:8" x14ac:dyDescent="0.2">
      <c r="A7" s="21" t="s">
        <v>44</v>
      </c>
      <c r="B7" s="21" t="s">
        <v>45</v>
      </c>
      <c r="C7" s="21" t="s">
        <v>46</v>
      </c>
    </row>
    <row r="9" spans="1:8" x14ac:dyDescent="0.2">
      <c r="A9" s="20" t="s">
        <v>243</v>
      </c>
      <c r="B9" s="20"/>
      <c r="C9" s="20"/>
    </row>
    <row r="10" spans="1:8" x14ac:dyDescent="0.2">
      <c r="A10" s="20" t="s">
        <v>241</v>
      </c>
      <c r="B10" s="20" t="s">
        <v>37</v>
      </c>
      <c r="C10" s="20" t="s">
        <v>38</v>
      </c>
    </row>
    <row r="11" spans="1:8" x14ac:dyDescent="0.2">
      <c r="A11" s="20" t="s">
        <v>39</v>
      </c>
      <c r="B11" s="20" t="s">
        <v>40</v>
      </c>
      <c r="C11" s="20" t="s">
        <v>41</v>
      </c>
    </row>
    <row r="12" spans="1:8" x14ac:dyDescent="0.2">
      <c r="A12" s="19" t="s">
        <v>39</v>
      </c>
      <c r="B12" s="19" t="s">
        <v>42</v>
      </c>
      <c r="C12" s="19" t="s">
        <v>43</v>
      </c>
    </row>
    <row r="13" spans="1:8" x14ac:dyDescent="0.2">
      <c r="A13" s="19" t="s">
        <v>244</v>
      </c>
      <c r="B13" s="19" t="s">
        <v>47</v>
      </c>
      <c r="C13" s="19" t="s">
        <v>108</v>
      </c>
    </row>
    <row r="14" spans="1:8" x14ac:dyDescent="0.2">
      <c r="A14" s="21" t="s">
        <v>238</v>
      </c>
      <c r="B14" s="21"/>
      <c r="C14" s="21"/>
    </row>
    <row r="16" spans="1:8" x14ac:dyDescent="0.2">
      <c r="A16" s="20" t="s">
        <v>246</v>
      </c>
      <c r="B16" s="20"/>
      <c r="C16" s="20"/>
    </row>
    <row r="17" spans="1:3" x14ac:dyDescent="0.2">
      <c r="A17" s="20" t="s">
        <v>84</v>
      </c>
      <c r="B17" s="20" t="s">
        <v>48</v>
      </c>
      <c r="C17" s="20"/>
    </row>
    <row r="18" spans="1:3" x14ac:dyDescent="0.2">
      <c r="A18" s="19" t="s">
        <v>85</v>
      </c>
      <c r="B18" s="19" t="s">
        <v>49</v>
      </c>
      <c r="C18" s="19"/>
    </row>
    <row r="19" spans="1:3" x14ac:dyDescent="0.2">
      <c r="A19" s="19" t="s">
        <v>87</v>
      </c>
      <c r="B19" s="19" t="s">
        <v>50</v>
      </c>
      <c r="C19" s="19"/>
    </row>
    <row r="20" spans="1:3" x14ac:dyDescent="0.2">
      <c r="A20" s="19" t="s">
        <v>88</v>
      </c>
      <c r="B20" s="19" t="s">
        <v>51</v>
      </c>
      <c r="C20" s="19"/>
    </row>
    <row r="21" spans="1:3" x14ac:dyDescent="0.2">
      <c r="A21" s="19" t="s">
        <v>89</v>
      </c>
      <c r="B21" s="19" t="s">
        <v>52</v>
      </c>
      <c r="C21" s="19"/>
    </row>
    <row r="22" spans="1:3" x14ac:dyDescent="0.2">
      <c r="A22" s="21" t="s">
        <v>91</v>
      </c>
      <c r="B22" s="21" t="s">
        <v>53</v>
      </c>
      <c r="C22" s="21"/>
    </row>
    <row r="24" spans="1:3" x14ac:dyDescent="0.2">
      <c r="A24" s="8" t="s">
        <v>240</v>
      </c>
      <c r="B24" s="8"/>
      <c r="C24" s="8"/>
    </row>
    <row r="25" spans="1:3" x14ac:dyDescent="0.2">
      <c r="A25" s="20" t="s">
        <v>241</v>
      </c>
      <c r="B25" s="20" t="s">
        <v>37</v>
      </c>
      <c r="C25" s="20" t="s">
        <v>38</v>
      </c>
    </row>
    <row r="26" spans="1:3" x14ac:dyDescent="0.2">
      <c r="A26" s="20" t="s">
        <v>39</v>
      </c>
      <c r="B26" s="20" t="s">
        <v>54</v>
      </c>
      <c r="C26" s="20" t="s">
        <v>112</v>
      </c>
    </row>
    <row r="27" spans="1:3" x14ac:dyDescent="0.2">
      <c r="A27" s="19" t="s">
        <v>44</v>
      </c>
      <c r="B27" s="19" t="s">
        <v>56</v>
      </c>
      <c r="C27" s="19" t="s">
        <v>113</v>
      </c>
    </row>
    <row r="28" spans="1:3" x14ac:dyDescent="0.2">
      <c r="A28" s="19" t="s">
        <v>39</v>
      </c>
      <c r="B28" s="19" t="s">
        <v>57</v>
      </c>
      <c r="C28" s="19" t="s">
        <v>58</v>
      </c>
    </row>
    <row r="29" spans="1:3" x14ac:dyDescent="0.2">
      <c r="A29" s="19" t="s">
        <v>44</v>
      </c>
      <c r="B29" s="19" t="s">
        <v>59</v>
      </c>
      <c r="C29" s="19" t="s">
        <v>60</v>
      </c>
    </row>
    <row r="30" spans="1:3" x14ac:dyDescent="0.2">
      <c r="A30" s="19" t="s">
        <v>39</v>
      </c>
      <c r="B30" s="19" t="s">
        <v>61</v>
      </c>
      <c r="C30" s="19" t="s">
        <v>62</v>
      </c>
    </row>
    <row r="31" spans="1:3" x14ac:dyDescent="0.2">
      <c r="A31" s="19" t="s">
        <v>44</v>
      </c>
      <c r="B31" s="19" t="s">
        <v>63</v>
      </c>
      <c r="C31" s="19" t="s">
        <v>64</v>
      </c>
    </row>
    <row r="32" spans="1:3" x14ac:dyDescent="0.2">
      <c r="A32" s="19" t="s">
        <v>39</v>
      </c>
      <c r="B32" s="19" t="s">
        <v>65</v>
      </c>
      <c r="C32" s="19" t="s">
        <v>66</v>
      </c>
    </row>
    <row r="33" spans="1:3" x14ac:dyDescent="0.2">
      <c r="A33" s="19" t="s">
        <v>44</v>
      </c>
      <c r="B33" s="19" t="s">
        <v>67</v>
      </c>
      <c r="C33" s="19" t="s">
        <v>109</v>
      </c>
    </row>
    <row r="34" spans="1:3" x14ac:dyDescent="0.2">
      <c r="A34" s="19" t="s">
        <v>39</v>
      </c>
      <c r="B34" s="19" t="s">
        <v>68</v>
      </c>
      <c r="C34" s="19" t="s">
        <v>69</v>
      </c>
    </row>
    <row r="35" spans="1:3" x14ac:dyDescent="0.2">
      <c r="A35" s="19" t="s">
        <v>44</v>
      </c>
      <c r="B35" s="19" t="s">
        <v>70</v>
      </c>
      <c r="C35" s="19" t="s">
        <v>71</v>
      </c>
    </row>
    <row r="36" spans="1:3" x14ac:dyDescent="0.2">
      <c r="A36" s="19" t="s">
        <v>39</v>
      </c>
      <c r="B36" s="19" t="s">
        <v>72</v>
      </c>
      <c r="C36" s="19" t="s">
        <v>73</v>
      </c>
    </row>
    <row r="37" spans="1:3" x14ac:dyDescent="0.2">
      <c r="A37" s="19" t="s">
        <v>39</v>
      </c>
      <c r="B37" s="19" t="s">
        <v>74</v>
      </c>
      <c r="C37" s="19" t="s">
        <v>75</v>
      </c>
    </row>
    <row r="38" spans="1:3" x14ac:dyDescent="0.2">
      <c r="A38" s="21" t="s">
        <v>44</v>
      </c>
      <c r="B38" s="21" t="s">
        <v>76</v>
      </c>
      <c r="C38" s="21" t="s">
        <v>110</v>
      </c>
    </row>
    <row r="40" spans="1:3" x14ac:dyDescent="0.2">
      <c r="A40" s="20" t="s">
        <v>242</v>
      </c>
      <c r="B40" s="8"/>
      <c r="C40" s="8"/>
    </row>
    <row r="41" spans="1:3" x14ac:dyDescent="0.2">
      <c r="A41" s="8" t="s">
        <v>241</v>
      </c>
      <c r="B41" s="8" t="s">
        <v>37</v>
      </c>
      <c r="C41" s="8" t="s">
        <v>38</v>
      </c>
    </row>
    <row r="42" spans="1:3" x14ac:dyDescent="0.2">
      <c r="A42" s="19" t="s">
        <v>39</v>
      </c>
      <c r="B42" s="19" t="s">
        <v>54</v>
      </c>
      <c r="C42" s="19" t="s">
        <v>55</v>
      </c>
    </row>
    <row r="43" spans="1:3" x14ac:dyDescent="0.2">
      <c r="A43" s="19" t="s">
        <v>39</v>
      </c>
      <c r="B43" s="19" t="s">
        <v>57</v>
      </c>
      <c r="C43" s="19" t="s">
        <v>58</v>
      </c>
    </row>
    <row r="44" spans="1:3" x14ac:dyDescent="0.2">
      <c r="A44" s="19" t="s">
        <v>39</v>
      </c>
      <c r="B44" s="19" t="s">
        <v>61</v>
      </c>
      <c r="C44" s="19" t="s">
        <v>62</v>
      </c>
    </row>
    <row r="45" spans="1:3" x14ac:dyDescent="0.2">
      <c r="A45" s="19" t="s">
        <v>39</v>
      </c>
      <c r="B45" s="19" t="s">
        <v>65</v>
      </c>
      <c r="C45" s="19" t="s">
        <v>66</v>
      </c>
    </row>
    <row r="46" spans="1:3" x14ac:dyDescent="0.2">
      <c r="A46" s="19" t="s">
        <v>39</v>
      </c>
      <c r="B46" s="19" t="s">
        <v>68</v>
      </c>
      <c r="C46" s="19" t="s">
        <v>69</v>
      </c>
    </row>
    <row r="47" spans="1:3" x14ac:dyDescent="0.2">
      <c r="A47" s="19" t="s">
        <v>39</v>
      </c>
      <c r="B47" s="19" t="s">
        <v>72</v>
      </c>
      <c r="C47" s="19" t="s">
        <v>73</v>
      </c>
    </row>
    <row r="48" spans="1:3" x14ac:dyDescent="0.2">
      <c r="A48" s="19" t="s">
        <v>39</v>
      </c>
      <c r="B48" s="19" t="s">
        <v>74</v>
      </c>
      <c r="C48" s="19" t="s">
        <v>75</v>
      </c>
    </row>
    <row r="49" spans="1:3" x14ac:dyDescent="0.2">
      <c r="A49" s="19" t="s">
        <v>244</v>
      </c>
      <c r="B49" s="30" t="s">
        <v>114</v>
      </c>
      <c r="C49" s="19" t="s">
        <v>111</v>
      </c>
    </row>
    <row r="50" spans="1:3" x14ac:dyDescent="0.2">
      <c r="A50" s="21" t="s">
        <v>238</v>
      </c>
      <c r="B50" s="21"/>
      <c r="C50" s="21"/>
    </row>
    <row r="52" spans="1:3" x14ac:dyDescent="0.2">
      <c r="A52" s="20" t="s">
        <v>245</v>
      </c>
      <c r="B52" s="20"/>
      <c r="C52" s="20"/>
    </row>
    <row r="53" spans="1:3" x14ac:dyDescent="0.2">
      <c r="A53" s="20" t="s">
        <v>92</v>
      </c>
      <c r="B53" s="20" t="s">
        <v>77</v>
      </c>
      <c r="C53" s="20"/>
    </row>
    <row r="54" spans="1:3" x14ac:dyDescent="0.2">
      <c r="A54" s="19" t="s">
        <v>93</v>
      </c>
      <c r="B54" s="19" t="s">
        <v>78</v>
      </c>
      <c r="C54" s="19"/>
    </row>
    <row r="55" spans="1:3" x14ac:dyDescent="0.2">
      <c r="A55" s="19" t="s">
        <v>95</v>
      </c>
      <c r="B55" s="19" t="s">
        <v>79</v>
      </c>
      <c r="C55" s="19"/>
    </row>
    <row r="56" spans="1:3" x14ac:dyDescent="0.2">
      <c r="A56" s="19" t="s">
        <v>96</v>
      </c>
      <c r="B56" s="19" t="s">
        <v>80</v>
      </c>
      <c r="C56" s="19"/>
    </row>
    <row r="57" spans="1:3" x14ac:dyDescent="0.2">
      <c r="A57" s="19" t="s">
        <v>97</v>
      </c>
      <c r="B57" s="19" t="s">
        <v>81</v>
      </c>
      <c r="C57" s="19"/>
    </row>
    <row r="58" spans="1:3" x14ac:dyDescent="0.2">
      <c r="A58" s="19" t="s">
        <v>98</v>
      </c>
      <c r="B58" s="19" t="s">
        <v>82</v>
      </c>
      <c r="C58" s="19"/>
    </row>
    <row r="59" spans="1:3" x14ac:dyDescent="0.2">
      <c r="A59" s="21" t="s">
        <v>100</v>
      </c>
      <c r="B59" s="21" t="s">
        <v>83</v>
      </c>
      <c r="C59" s="21"/>
    </row>
  </sheetData>
  <phoneticPr fontId="1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68"/>
  <sheetViews>
    <sheetView workbookViewId="0">
      <selection activeCell="E33" sqref="E33:F33"/>
    </sheetView>
  </sheetViews>
  <sheetFormatPr defaultColWidth="8.88671875" defaultRowHeight="13.2" x14ac:dyDescent="0.2"/>
  <cols>
    <col min="1" max="1" width="6" customWidth="1"/>
    <col min="3" max="4" width="9.44140625" customWidth="1"/>
    <col min="5" max="6" width="9.44140625" style="1" customWidth="1"/>
    <col min="7" max="8" width="9.44140625" customWidth="1"/>
    <col min="9" max="10" width="9.44140625" style="1" customWidth="1"/>
    <col min="11" max="12" width="9.44140625" customWidth="1"/>
    <col min="13" max="14" width="9.44140625" style="1" customWidth="1"/>
    <col min="15" max="16" width="9.44140625" customWidth="1"/>
    <col min="17" max="18" width="9.44140625" style="1" customWidth="1"/>
    <col min="19" max="19" width="9.88671875" customWidth="1"/>
    <col min="20" max="20" width="9.44140625" customWidth="1"/>
    <col min="21" max="22" width="9.44140625" style="1" customWidth="1"/>
    <col min="23" max="23" width="10.6640625" customWidth="1"/>
    <col min="24" max="24" width="9.44140625" customWidth="1"/>
    <col min="25" max="25" width="9.44140625" style="1" customWidth="1"/>
    <col min="26" max="26" width="9.44140625" customWidth="1"/>
    <col min="27" max="27" width="10.33203125" customWidth="1"/>
    <col min="28" max="30" width="9.44140625" customWidth="1"/>
  </cols>
  <sheetData>
    <row r="1" spans="1:26" s="18" customFormat="1" x14ac:dyDescent="0.2">
      <c r="A1" s="18" t="s">
        <v>229</v>
      </c>
    </row>
    <row r="2" spans="1:26" s="1" customFormat="1" x14ac:dyDescent="0.2">
      <c r="D2" s="3"/>
      <c r="E2" s="3"/>
      <c r="F2" s="3"/>
      <c r="H2" s="3"/>
      <c r="I2" s="3"/>
      <c r="J2" s="3"/>
      <c r="L2" s="3"/>
      <c r="M2" s="3"/>
      <c r="N2" s="3"/>
      <c r="P2" s="3"/>
      <c r="Q2" s="3"/>
      <c r="R2" s="3"/>
      <c r="T2" s="3"/>
      <c r="U2" s="3"/>
      <c r="V2" s="3"/>
      <c r="X2" s="3"/>
      <c r="Y2" s="3"/>
    </row>
    <row r="3" spans="1:26" x14ac:dyDescent="0.2">
      <c r="A3" s="1" t="s">
        <v>104</v>
      </c>
      <c r="B3" s="1"/>
      <c r="C3" s="52" t="s">
        <v>84</v>
      </c>
      <c r="D3" s="52"/>
      <c r="E3" s="52"/>
      <c r="F3" s="52"/>
      <c r="G3" s="52" t="s">
        <v>101</v>
      </c>
      <c r="H3" s="52"/>
      <c r="I3" s="52"/>
      <c r="J3" s="52"/>
      <c r="K3" s="52" t="s">
        <v>86</v>
      </c>
      <c r="L3" s="52"/>
      <c r="M3" s="52"/>
      <c r="N3" s="52"/>
      <c r="O3" s="52" t="s">
        <v>88</v>
      </c>
      <c r="P3" s="52"/>
      <c r="Q3" s="52"/>
      <c r="R3" s="52"/>
      <c r="S3" s="52" t="s">
        <v>89</v>
      </c>
      <c r="T3" s="52"/>
      <c r="U3" s="52"/>
      <c r="V3" s="52"/>
      <c r="W3" s="52" t="s">
        <v>90</v>
      </c>
      <c r="X3" s="52"/>
      <c r="Y3" s="52"/>
      <c r="Z3" s="52"/>
    </row>
    <row r="4" spans="1:26" s="1" customFormat="1" ht="15.6" x14ac:dyDescent="0.2">
      <c r="C4" s="52" t="s">
        <v>7</v>
      </c>
      <c r="D4" s="52"/>
      <c r="E4" s="52" t="s">
        <v>247</v>
      </c>
      <c r="F4" s="52"/>
      <c r="G4" s="52" t="s">
        <v>7</v>
      </c>
      <c r="H4" s="52"/>
      <c r="I4" s="52" t="s">
        <v>247</v>
      </c>
      <c r="J4" s="52"/>
      <c r="K4" s="52" t="s">
        <v>7</v>
      </c>
      <c r="L4" s="52"/>
      <c r="M4" s="52" t="s">
        <v>247</v>
      </c>
      <c r="N4" s="52"/>
      <c r="O4" s="52" t="s">
        <v>7</v>
      </c>
      <c r="P4" s="52"/>
      <c r="Q4" s="52" t="s">
        <v>247</v>
      </c>
      <c r="R4" s="52"/>
      <c r="S4" s="52" t="s">
        <v>7</v>
      </c>
      <c r="T4" s="52"/>
      <c r="U4" s="52" t="s">
        <v>247</v>
      </c>
      <c r="V4" s="52"/>
      <c r="W4" s="52" t="s">
        <v>7</v>
      </c>
      <c r="X4" s="52"/>
      <c r="Y4" s="52" t="s">
        <v>247</v>
      </c>
      <c r="Z4" s="52"/>
    </row>
    <row r="5" spans="1:26" ht="12.75" customHeight="1" x14ac:dyDescent="0.2">
      <c r="A5" s="1"/>
      <c r="B5" s="1"/>
      <c r="C5" s="56" t="s">
        <v>230</v>
      </c>
      <c r="D5" s="56"/>
      <c r="E5" s="56"/>
      <c r="F5" s="56"/>
      <c r="G5" s="56" t="s">
        <v>230</v>
      </c>
      <c r="H5" s="56"/>
      <c r="I5" s="56"/>
      <c r="J5" s="56"/>
      <c r="K5" s="56" t="s">
        <v>230</v>
      </c>
      <c r="L5" s="56"/>
      <c r="M5" s="56"/>
      <c r="N5" s="56"/>
      <c r="O5" s="56" t="s">
        <v>230</v>
      </c>
      <c r="P5" s="56"/>
      <c r="Q5" s="56"/>
      <c r="R5" s="56"/>
      <c r="S5" s="56" t="s">
        <v>230</v>
      </c>
      <c r="T5" s="56"/>
      <c r="U5" s="56"/>
      <c r="V5" s="56"/>
      <c r="W5" s="56" t="s">
        <v>230</v>
      </c>
      <c r="X5" s="56"/>
      <c r="Y5" s="56"/>
      <c r="Z5" s="56"/>
    </row>
    <row r="6" spans="1:26" x14ac:dyDescent="0.2">
      <c r="A6" s="6" t="s">
        <v>10</v>
      </c>
      <c r="B6" s="6" t="s">
        <v>25</v>
      </c>
      <c r="C6" s="6">
        <v>1211</v>
      </c>
      <c r="D6" s="7">
        <v>3.0513770252223651E-2</v>
      </c>
      <c r="E6" s="6">
        <v>106</v>
      </c>
      <c r="F6" s="7">
        <v>2.3373759647188533E-2</v>
      </c>
      <c r="G6" s="6">
        <v>2033</v>
      </c>
      <c r="H6" s="7">
        <v>7.6310949288690366E-2</v>
      </c>
      <c r="I6" s="6">
        <v>99</v>
      </c>
      <c r="J6" s="7">
        <v>5.5091819699499167E-2</v>
      </c>
      <c r="K6" s="6">
        <v>4504</v>
      </c>
      <c r="L6" s="7">
        <v>6.6196355085243977E-2</v>
      </c>
      <c r="M6" s="6">
        <v>225</v>
      </c>
      <c r="N6" s="7">
        <v>5.2991050400376827E-2</v>
      </c>
      <c r="O6" s="6">
        <v>2072</v>
      </c>
      <c r="P6" s="7">
        <v>6.4343829575802744E-2</v>
      </c>
      <c r="Q6" s="6">
        <v>117</v>
      </c>
      <c r="R6" s="7">
        <v>3.643724696356275E-2</v>
      </c>
      <c r="S6" s="6">
        <v>1053</v>
      </c>
      <c r="T6" s="7">
        <v>2.3205588734380854E-2</v>
      </c>
      <c r="U6" s="6">
        <v>76</v>
      </c>
      <c r="V6" s="7">
        <v>1.6862658087419571E-2</v>
      </c>
      <c r="W6" s="6">
        <v>1055</v>
      </c>
      <c r="X6" s="7">
        <v>5.4536055828379428E-2</v>
      </c>
      <c r="Y6" s="6">
        <v>72</v>
      </c>
      <c r="Z6" s="7">
        <v>2.313624678663239E-2</v>
      </c>
    </row>
    <row r="7" spans="1:26" x14ac:dyDescent="0.2">
      <c r="A7" s="2" t="s">
        <v>9</v>
      </c>
      <c r="B7" s="2" t="s">
        <v>25</v>
      </c>
      <c r="C7" s="2">
        <v>2638</v>
      </c>
      <c r="D7" s="4">
        <v>6.6470128757527655E-2</v>
      </c>
      <c r="E7" s="2">
        <v>180</v>
      </c>
      <c r="F7" s="4">
        <v>3.9691289966923927E-2</v>
      </c>
      <c r="G7" s="2">
        <v>2562</v>
      </c>
      <c r="H7" s="4">
        <v>9.616756127772981E-2</v>
      </c>
      <c r="I7" s="2">
        <v>122</v>
      </c>
      <c r="J7" s="4">
        <v>6.7890929326655539E-2</v>
      </c>
      <c r="K7" s="2">
        <v>5195</v>
      </c>
      <c r="L7" s="4">
        <v>7.6352145796590234E-2</v>
      </c>
      <c r="M7" s="2">
        <v>248</v>
      </c>
      <c r="N7" s="4">
        <v>5.8407913330193122E-2</v>
      </c>
      <c r="O7" s="2">
        <v>2180</v>
      </c>
      <c r="P7" s="4">
        <v>6.7697658530526048E-2</v>
      </c>
      <c r="Q7" s="2">
        <v>94</v>
      </c>
      <c r="R7" s="4">
        <v>2.9274369355341015E-2</v>
      </c>
      <c r="S7" s="2">
        <v>1792</v>
      </c>
      <c r="T7" s="4">
        <v>3.9491372281111575E-2</v>
      </c>
      <c r="U7" s="2">
        <v>124</v>
      </c>
      <c r="V7" s="4">
        <v>2.7512757932105614E-2</v>
      </c>
      <c r="W7" s="2">
        <v>1972</v>
      </c>
      <c r="X7" s="4">
        <v>0.10193848539674334</v>
      </c>
      <c r="Y7" s="2">
        <v>110</v>
      </c>
      <c r="Z7" s="4">
        <v>3.5347043701799488E-2</v>
      </c>
    </row>
    <row r="8" spans="1:26" x14ac:dyDescent="0.2">
      <c r="A8" s="2" t="s">
        <v>8</v>
      </c>
      <c r="B8" s="2" t="s">
        <v>24</v>
      </c>
      <c r="C8" s="2">
        <v>2855</v>
      </c>
      <c r="D8" s="4">
        <v>7.1937914178446347E-2</v>
      </c>
      <c r="E8" s="2">
        <v>198</v>
      </c>
      <c r="F8" s="4">
        <v>4.3660418963616318E-2</v>
      </c>
      <c r="G8" s="2">
        <v>2267</v>
      </c>
      <c r="H8" s="4">
        <v>8.509440336323712E-2</v>
      </c>
      <c r="I8" s="2">
        <v>90</v>
      </c>
      <c r="J8" s="4">
        <v>5.0083472454090151E-2</v>
      </c>
      <c r="K8" s="2">
        <v>5577</v>
      </c>
      <c r="L8" s="4">
        <v>8.1966490299823627E-2</v>
      </c>
      <c r="M8" s="2">
        <v>235</v>
      </c>
      <c r="N8" s="4">
        <v>5.5346208195949126E-2</v>
      </c>
      <c r="O8" s="2">
        <v>3512</v>
      </c>
      <c r="P8" s="4">
        <v>0.10906154897211354</v>
      </c>
      <c r="Q8" s="2">
        <v>183</v>
      </c>
      <c r="R8" s="4">
        <v>5.6991591404546869E-2</v>
      </c>
      <c r="S8" s="2">
        <v>2321</v>
      </c>
      <c r="T8" s="4">
        <v>5.1149260638649538E-2</v>
      </c>
      <c r="U8" s="2">
        <v>116</v>
      </c>
      <c r="V8" s="4">
        <v>2.5737741291324605E-2</v>
      </c>
      <c r="W8" s="2">
        <v>1809</v>
      </c>
      <c r="X8" s="4">
        <v>9.3512535538898947E-2</v>
      </c>
      <c r="Y8" s="2">
        <v>104</v>
      </c>
      <c r="Z8" s="4">
        <v>3.3419023136246784E-2</v>
      </c>
    </row>
    <row r="9" spans="1:26" x14ac:dyDescent="0.2">
      <c r="A9" s="2" t="s">
        <v>0</v>
      </c>
      <c r="B9" s="2" t="s">
        <v>23</v>
      </c>
      <c r="C9" s="2">
        <v>7975</v>
      </c>
      <c r="D9" s="4">
        <v>0.2009474135107214</v>
      </c>
      <c r="E9" s="2">
        <v>462</v>
      </c>
      <c r="F9" s="4">
        <v>0.10187431091510474</v>
      </c>
      <c r="G9" s="2">
        <v>3207</v>
      </c>
      <c r="H9" s="4">
        <v>0.12037836417551893</v>
      </c>
      <c r="I9" s="2">
        <v>153</v>
      </c>
      <c r="J9" s="4">
        <v>8.5141903171953262E-2</v>
      </c>
      <c r="K9" s="2">
        <v>7631</v>
      </c>
      <c r="L9" s="4">
        <v>0.1121546149323927</v>
      </c>
      <c r="M9" s="2">
        <v>366</v>
      </c>
      <c r="N9" s="4">
        <v>8.61987753179463E-2</v>
      </c>
      <c r="O9" s="2">
        <v>4125</v>
      </c>
      <c r="P9" s="4">
        <v>0.12809763368734861</v>
      </c>
      <c r="Q9" s="2">
        <v>241</v>
      </c>
      <c r="R9" s="4">
        <v>7.5054500155714729E-2</v>
      </c>
      <c r="S9" s="2">
        <v>3778</v>
      </c>
      <c r="T9" s="4">
        <v>8.3258038213191707E-2</v>
      </c>
      <c r="U9" s="2">
        <v>260</v>
      </c>
      <c r="V9" s="4">
        <v>5.7688040825382737E-2</v>
      </c>
      <c r="W9" s="2">
        <v>1871</v>
      </c>
      <c r="X9" s="4">
        <v>9.6717498061514598E-2</v>
      </c>
      <c r="Y9" s="2">
        <v>149</v>
      </c>
      <c r="Z9" s="4">
        <v>4.7879177377892032E-2</v>
      </c>
    </row>
    <row r="10" spans="1:26" x14ac:dyDescent="0.2">
      <c r="A10" s="2" t="s">
        <v>1</v>
      </c>
      <c r="B10" s="2" t="s">
        <v>22</v>
      </c>
      <c r="C10" s="2">
        <v>2329</v>
      </c>
      <c r="D10" s="4">
        <v>5.8684203895482151E-2</v>
      </c>
      <c r="E10" s="2">
        <v>195</v>
      </c>
      <c r="F10" s="4">
        <v>4.2998897464167588E-2</v>
      </c>
      <c r="G10" s="2">
        <v>1458</v>
      </c>
      <c r="H10" s="4">
        <v>5.4727675387560529E-2</v>
      </c>
      <c r="I10" s="2">
        <v>74</v>
      </c>
      <c r="J10" s="4">
        <v>4.1179744017807454E-2</v>
      </c>
      <c r="K10" s="2">
        <v>5980</v>
      </c>
      <c r="L10" s="4">
        <v>8.7889476778365672E-2</v>
      </c>
      <c r="M10" s="2">
        <v>251</v>
      </c>
      <c r="N10" s="4">
        <v>5.9114460668864811E-2</v>
      </c>
      <c r="O10" s="2">
        <v>2327</v>
      </c>
      <c r="P10" s="4">
        <v>7.2262592385566107E-2</v>
      </c>
      <c r="Q10" s="2">
        <v>130</v>
      </c>
      <c r="R10" s="4">
        <v>4.048582995951417E-2</v>
      </c>
      <c r="S10" s="2">
        <v>2743</v>
      </c>
      <c r="T10" s="4">
        <v>6.0449126209313087E-2</v>
      </c>
      <c r="U10" s="2">
        <v>193</v>
      </c>
      <c r="V10" s="4">
        <v>4.2822276458841804E-2</v>
      </c>
      <c r="W10" s="2">
        <v>1460</v>
      </c>
      <c r="X10" s="4">
        <v>7.5471698113207544E-2</v>
      </c>
      <c r="Y10" s="2">
        <v>110</v>
      </c>
      <c r="Z10" s="4">
        <v>3.5347043701799488E-2</v>
      </c>
    </row>
    <row r="11" spans="1:26" x14ac:dyDescent="0.2">
      <c r="A11" s="2" t="s">
        <v>2</v>
      </c>
      <c r="B11" s="2" t="s">
        <v>21</v>
      </c>
      <c r="C11" s="2">
        <v>3913</v>
      </c>
      <c r="D11" s="4">
        <v>9.8596517751404739E-2</v>
      </c>
      <c r="E11" s="2">
        <v>245</v>
      </c>
      <c r="F11" s="4">
        <v>5.4024255788313123E-2</v>
      </c>
      <c r="G11" s="2">
        <v>3552</v>
      </c>
      <c r="H11" s="4">
        <v>0.13332832851619683</v>
      </c>
      <c r="I11" s="2">
        <v>118</v>
      </c>
      <c r="J11" s="4">
        <v>6.566499721758487E-2</v>
      </c>
      <c r="K11" s="2">
        <v>7513</v>
      </c>
      <c r="L11" s="4">
        <v>0.11042034097589654</v>
      </c>
      <c r="M11" s="2">
        <v>237</v>
      </c>
      <c r="N11" s="4">
        <v>5.5817239755063593E-2</v>
      </c>
      <c r="O11" s="2">
        <v>3349</v>
      </c>
      <c r="P11" s="4">
        <v>0.10399975156822558</v>
      </c>
      <c r="Q11" s="2">
        <v>125</v>
      </c>
      <c r="R11" s="4">
        <v>3.892868265337901E-2</v>
      </c>
      <c r="S11" s="2">
        <v>1122</v>
      </c>
      <c r="T11" s="4">
        <v>2.4726182867972762E-2</v>
      </c>
      <c r="U11" s="2">
        <v>83</v>
      </c>
      <c r="V11" s="4">
        <v>1.8415797648102951E-2</v>
      </c>
      <c r="W11" s="2">
        <v>474</v>
      </c>
      <c r="X11" s="4">
        <v>2.4502455414835873E-2</v>
      </c>
      <c r="Y11" s="2">
        <v>61</v>
      </c>
      <c r="Z11" s="4">
        <v>1.9601542416452442E-2</v>
      </c>
    </row>
    <row r="12" spans="1:26" x14ac:dyDescent="0.2">
      <c r="A12" s="2" t="s">
        <v>3</v>
      </c>
      <c r="B12" s="2" t="s">
        <v>20</v>
      </c>
      <c r="C12" s="2">
        <v>4575</v>
      </c>
      <c r="D12" s="4">
        <v>0.1152770428603825</v>
      </c>
      <c r="E12" s="2">
        <v>360</v>
      </c>
      <c r="F12" s="4">
        <v>7.9382579933847855E-2</v>
      </c>
      <c r="G12" s="2">
        <v>2987</v>
      </c>
      <c r="H12" s="4">
        <v>0.11212041590030404</v>
      </c>
      <c r="I12" s="2">
        <v>167</v>
      </c>
      <c r="J12" s="4">
        <v>9.2932665553700611E-2</v>
      </c>
      <c r="K12" s="2">
        <v>13499</v>
      </c>
      <c r="L12" s="4">
        <v>0.19839800117577897</v>
      </c>
      <c r="M12" s="2">
        <v>590</v>
      </c>
      <c r="N12" s="4">
        <v>0.1389543099387659</v>
      </c>
      <c r="O12" s="2">
        <v>5194</v>
      </c>
      <c r="P12" s="4">
        <v>0.16129432954474876</v>
      </c>
      <c r="Q12" s="2">
        <v>340</v>
      </c>
      <c r="R12" s="4">
        <v>0.10588601681719091</v>
      </c>
      <c r="S12" s="2">
        <v>5898</v>
      </c>
      <c r="T12" s="4">
        <v>0.12997774202789961</v>
      </c>
      <c r="U12" s="2">
        <v>445</v>
      </c>
      <c r="V12" s="4">
        <v>9.8735300643443533E-2</v>
      </c>
      <c r="W12" s="2">
        <v>3182</v>
      </c>
      <c r="X12" s="4">
        <v>0.16448694753166193</v>
      </c>
      <c r="Y12" s="2">
        <v>275</v>
      </c>
      <c r="Z12" s="4">
        <v>8.8367609254498714E-2</v>
      </c>
    </row>
    <row r="13" spans="1:26" x14ac:dyDescent="0.2">
      <c r="A13" s="2" t="s">
        <v>4</v>
      </c>
      <c r="B13" s="2" t="s">
        <v>19</v>
      </c>
      <c r="C13" s="2">
        <v>4781</v>
      </c>
      <c r="D13" s="4">
        <v>0.12046765943507949</v>
      </c>
      <c r="E13" s="2">
        <v>267</v>
      </c>
      <c r="F13" s="4">
        <v>5.8875413450937157E-2</v>
      </c>
      <c r="G13" s="2">
        <v>2553</v>
      </c>
      <c r="H13" s="4">
        <v>9.5829736121016473E-2</v>
      </c>
      <c r="I13" s="2">
        <v>124</v>
      </c>
      <c r="J13" s="4">
        <v>6.900389538119088E-2</v>
      </c>
      <c r="K13" s="2">
        <v>10442</v>
      </c>
      <c r="L13" s="4">
        <v>0.15346854791299236</v>
      </c>
      <c r="M13" s="2">
        <v>501</v>
      </c>
      <c r="N13" s="4">
        <v>0.11799340555817239</v>
      </c>
      <c r="O13" s="2">
        <v>4246</v>
      </c>
      <c r="P13" s="4">
        <v>0.13185516427551083</v>
      </c>
      <c r="Q13" s="2">
        <v>245</v>
      </c>
      <c r="R13" s="4">
        <v>7.6300218000622866E-2</v>
      </c>
      <c r="S13" s="2">
        <v>7227</v>
      </c>
      <c r="T13" s="4">
        <v>0.15926570729664807</v>
      </c>
      <c r="U13" s="2">
        <v>384</v>
      </c>
      <c r="V13" s="4">
        <v>8.5200798757488358E-2</v>
      </c>
      <c r="W13" s="2">
        <v>1575</v>
      </c>
      <c r="X13" s="4">
        <v>8.1416386663220472E-2</v>
      </c>
      <c r="Y13" s="2">
        <v>121</v>
      </c>
      <c r="Z13" s="4">
        <v>3.8881748071979437E-2</v>
      </c>
    </row>
    <row r="14" spans="1:26" x14ac:dyDescent="0.2">
      <c r="A14" s="55" t="s">
        <v>5</v>
      </c>
      <c r="B14" s="55"/>
      <c r="C14" s="8">
        <v>9410</v>
      </c>
      <c r="D14" s="10">
        <v>0.23710534935873206</v>
      </c>
      <c r="E14" s="8">
        <v>2522</v>
      </c>
      <c r="F14" s="10">
        <v>0.55611907386990078</v>
      </c>
      <c r="G14" s="8">
        <v>6022</v>
      </c>
      <c r="H14" s="10">
        <v>0.22604256596974587</v>
      </c>
      <c r="I14" s="8">
        <v>850</v>
      </c>
      <c r="J14" s="10">
        <v>0.4730105731775181</v>
      </c>
      <c r="K14" s="8">
        <v>7699</v>
      </c>
      <c r="L14" s="10">
        <v>0.11315402704291593</v>
      </c>
      <c r="M14" s="8">
        <v>1593</v>
      </c>
      <c r="N14" s="10">
        <v>0.3751766368346679</v>
      </c>
      <c r="O14" s="8">
        <v>5197</v>
      </c>
      <c r="P14" s="10">
        <v>0.16138749146015777</v>
      </c>
      <c r="Q14" s="8">
        <v>1736</v>
      </c>
      <c r="R14" s="10">
        <v>0.54064154469012771</v>
      </c>
      <c r="S14" s="8">
        <v>19443</v>
      </c>
      <c r="T14" s="10">
        <v>0.42847698173083282</v>
      </c>
      <c r="U14" s="8">
        <v>2826</v>
      </c>
      <c r="V14" s="10">
        <v>0.62702462835589079</v>
      </c>
      <c r="W14" s="8">
        <v>5947</v>
      </c>
      <c r="X14" s="10">
        <v>0.30741793745153789</v>
      </c>
      <c r="Y14" s="8">
        <v>2110</v>
      </c>
      <c r="Z14" s="10">
        <v>0.67802056555269918</v>
      </c>
    </row>
    <row r="15" spans="1:26" x14ac:dyDescent="0.2">
      <c r="A15" s="55" t="s">
        <v>26</v>
      </c>
      <c r="B15" s="55"/>
      <c r="C15" s="8">
        <v>39687</v>
      </c>
      <c r="D15" s="10">
        <v>1</v>
      </c>
      <c r="E15" s="8">
        <v>4535</v>
      </c>
      <c r="F15" s="10">
        <v>1</v>
      </c>
      <c r="G15" s="8">
        <v>26641</v>
      </c>
      <c r="H15" s="10">
        <v>1</v>
      </c>
      <c r="I15" s="8">
        <v>1797</v>
      </c>
      <c r="J15" s="10">
        <v>1</v>
      </c>
      <c r="K15" s="8">
        <v>68040</v>
      </c>
      <c r="L15" s="10">
        <v>1</v>
      </c>
      <c r="M15" s="8">
        <v>4246</v>
      </c>
      <c r="N15" s="10">
        <v>1</v>
      </c>
      <c r="O15" s="8">
        <v>32202</v>
      </c>
      <c r="P15" s="10">
        <v>1</v>
      </c>
      <c r="Q15" s="8">
        <v>3211</v>
      </c>
      <c r="R15" s="10">
        <v>1</v>
      </c>
      <c r="S15" s="8">
        <v>45377</v>
      </c>
      <c r="T15" s="10">
        <v>1</v>
      </c>
      <c r="U15" s="8">
        <v>4507</v>
      </c>
      <c r="V15" s="10">
        <v>1</v>
      </c>
      <c r="W15" s="8">
        <v>19345</v>
      </c>
      <c r="X15" s="10">
        <v>1</v>
      </c>
      <c r="Y15" s="8">
        <v>3112</v>
      </c>
      <c r="Z15" s="10">
        <v>1</v>
      </c>
    </row>
    <row r="18" spans="1:30" x14ac:dyDescent="0.2">
      <c r="A18" s="18"/>
      <c r="B18" s="31"/>
      <c r="C18" s="52" t="s">
        <v>84</v>
      </c>
      <c r="D18" s="52"/>
      <c r="E18" s="52"/>
      <c r="F18" s="52"/>
      <c r="G18" s="52" t="s">
        <v>85</v>
      </c>
      <c r="H18" s="52"/>
      <c r="I18" s="52"/>
      <c r="J18" s="52"/>
      <c r="K18" s="52" t="s">
        <v>86</v>
      </c>
      <c r="L18" s="52"/>
      <c r="M18" s="52"/>
      <c r="N18" s="52"/>
      <c r="O18" s="52" t="s">
        <v>88</v>
      </c>
      <c r="P18" s="52"/>
      <c r="Q18" s="52"/>
      <c r="R18" s="52"/>
      <c r="S18" s="52" t="s">
        <v>89</v>
      </c>
      <c r="T18" s="52"/>
      <c r="U18" s="52"/>
      <c r="V18" s="52"/>
      <c r="W18" s="52" t="s">
        <v>90</v>
      </c>
      <c r="X18" s="52"/>
      <c r="Y18" s="52"/>
      <c r="Z18" s="52"/>
    </row>
    <row r="19" spans="1:30" ht="15.6" x14ac:dyDescent="0.2">
      <c r="A19" s="18"/>
      <c r="B19" s="31"/>
      <c r="C19" s="53" t="s">
        <v>115</v>
      </c>
      <c r="D19" s="53"/>
      <c r="E19" s="52" t="s">
        <v>247</v>
      </c>
      <c r="F19" s="52"/>
      <c r="G19" s="53" t="s">
        <v>115</v>
      </c>
      <c r="H19" s="57"/>
      <c r="I19" s="52" t="s">
        <v>247</v>
      </c>
      <c r="J19" s="52"/>
      <c r="K19" s="53" t="s">
        <v>115</v>
      </c>
      <c r="L19" s="57"/>
      <c r="M19" s="52" t="s">
        <v>247</v>
      </c>
      <c r="N19" s="52"/>
      <c r="O19" s="53" t="s">
        <v>115</v>
      </c>
      <c r="P19" s="57"/>
      <c r="Q19" s="52" t="s">
        <v>247</v>
      </c>
      <c r="R19" s="52"/>
      <c r="S19" s="53" t="s">
        <v>115</v>
      </c>
      <c r="T19" s="57"/>
      <c r="U19" s="52" t="s">
        <v>247</v>
      </c>
      <c r="V19" s="52"/>
      <c r="W19" s="53" t="s">
        <v>115</v>
      </c>
      <c r="X19" s="57"/>
      <c r="Y19" s="52" t="s">
        <v>247</v>
      </c>
      <c r="Z19" s="52"/>
    </row>
    <row r="20" spans="1:30" s="1" customFormat="1" ht="12.75" customHeight="1" x14ac:dyDescent="0.2">
      <c r="A20" s="31"/>
      <c r="B20" s="31"/>
      <c r="C20" s="50" t="s">
        <v>231</v>
      </c>
      <c r="D20" s="50"/>
      <c r="E20" s="50"/>
      <c r="F20" s="54"/>
      <c r="G20" s="50" t="s">
        <v>231</v>
      </c>
      <c r="H20" s="50"/>
      <c r="I20" s="50"/>
      <c r="J20" s="54"/>
      <c r="K20" s="50" t="s">
        <v>231</v>
      </c>
      <c r="L20" s="50"/>
      <c r="M20" s="50"/>
      <c r="N20" s="54"/>
      <c r="O20" s="50" t="s">
        <v>231</v>
      </c>
      <c r="P20" s="50"/>
      <c r="Q20" s="50"/>
      <c r="R20" s="54"/>
      <c r="S20" s="50" t="s">
        <v>231</v>
      </c>
      <c r="T20" s="50"/>
      <c r="U20" s="50"/>
      <c r="V20" s="54"/>
      <c r="W20" s="50" t="s">
        <v>231</v>
      </c>
      <c r="X20" s="50"/>
      <c r="Y20" s="50"/>
      <c r="Z20" s="54"/>
    </row>
    <row r="21" spans="1:30" ht="26.25" customHeight="1" x14ac:dyDescent="0.2">
      <c r="A21" s="33" t="s">
        <v>116</v>
      </c>
      <c r="B21" s="33" t="s">
        <v>117</v>
      </c>
      <c r="C21" s="33">
        <v>2433726</v>
      </c>
      <c r="D21" s="34">
        <v>1050.83160621762</v>
      </c>
      <c r="E21" s="33">
        <v>177026</v>
      </c>
      <c r="F21" s="34">
        <v>76.436096718480144</v>
      </c>
      <c r="G21" s="33">
        <v>4065934</v>
      </c>
      <c r="H21" s="34">
        <v>1755.584628670121</v>
      </c>
      <c r="I21" s="33">
        <v>205758</v>
      </c>
      <c r="J21" s="34">
        <v>88.841968911917093</v>
      </c>
      <c r="K21" s="33">
        <v>8452410</v>
      </c>
      <c r="L21" s="34">
        <v>3649.5725388601036</v>
      </c>
      <c r="M21" s="33">
        <v>444909</v>
      </c>
      <c r="N21" s="34">
        <v>192.1023316062176</v>
      </c>
      <c r="O21" s="33">
        <v>3564488</v>
      </c>
      <c r="P21" s="34">
        <v>1539.0708117443869</v>
      </c>
      <c r="Q21" s="33">
        <v>194082</v>
      </c>
      <c r="R21" s="34">
        <v>83.80051813471502</v>
      </c>
      <c r="S21" s="33">
        <v>1711723</v>
      </c>
      <c r="T21" s="34">
        <v>739.0859240069085</v>
      </c>
      <c r="U21" s="33">
        <v>121079</v>
      </c>
      <c r="V21" s="34">
        <v>52.2793609671848</v>
      </c>
      <c r="W21" s="33">
        <v>1696912</v>
      </c>
      <c r="X21" s="34">
        <v>732.69084628670123</v>
      </c>
      <c r="Y21" s="33">
        <v>89881</v>
      </c>
      <c r="Z21" s="34">
        <v>38.808721934369601</v>
      </c>
    </row>
    <row r="22" spans="1:30" x14ac:dyDescent="0.2">
      <c r="A22" s="35" t="s">
        <v>118</v>
      </c>
      <c r="B22" s="35" t="s">
        <v>117</v>
      </c>
      <c r="C22" s="35">
        <v>5494224</v>
      </c>
      <c r="D22" s="36">
        <v>2372.2901554404143</v>
      </c>
      <c r="E22" s="35">
        <v>358882</v>
      </c>
      <c r="F22" s="36">
        <v>154.95768566493956</v>
      </c>
      <c r="G22" s="35">
        <v>4155170</v>
      </c>
      <c r="H22" s="36">
        <v>1794.1148531951642</v>
      </c>
      <c r="I22" s="35">
        <v>195468</v>
      </c>
      <c r="J22" s="36">
        <v>84.398963730569946</v>
      </c>
      <c r="K22" s="35">
        <v>8622065</v>
      </c>
      <c r="L22" s="36">
        <v>3722.8259930915369</v>
      </c>
      <c r="M22" s="35">
        <v>414388</v>
      </c>
      <c r="N22" s="36">
        <v>178.92400690846287</v>
      </c>
      <c r="O22" s="35">
        <v>2886490</v>
      </c>
      <c r="P22" s="36">
        <v>1246.325561312608</v>
      </c>
      <c r="Q22" s="35">
        <v>127513</v>
      </c>
      <c r="R22" s="36">
        <v>55.057426597582037</v>
      </c>
      <c r="S22" s="35">
        <v>1946371</v>
      </c>
      <c r="T22" s="36">
        <v>840.40198618307431</v>
      </c>
      <c r="U22" s="35">
        <v>141732</v>
      </c>
      <c r="V22" s="36">
        <v>61.196891191709845</v>
      </c>
      <c r="W22" s="35">
        <v>2987006</v>
      </c>
      <c r="X22" s="36">
        <v>1289.7262521588946</v>
      </c>
      <c r="Y22" s="35">
        <v>123697</v>
      </c>
      <c r="Z22" s="36">
        <v>53.409758203799655</v>
      </c>
    </row>
    <row r="23" spans="1:30" x14ac:dyDescent="0.2">
      <c r="A23" s="35" t="s">
        <v>119</v>
      </c>
      <c r="B23" s="35" t="s">
        <v>120</v>
      </c>
      <c r="C23" s="35">
        <v>5834555</v>
      </c>
      <c r="D23" s="36">
        <v>2641.265278406519</v>
      </c>
      <c r="E23" s="35">
        <v>362735</v>
      </c>
      <c r="F23" s="36">
        <v>164.20778632865549</v>
      </c>
      <c r="G23" s="35">
        <v>3904707</v>
      </c>
      <c r="H23" s="36">
        <v>1767.6355817111814</v>
      </c>
      <c r="I23" s="35">
        <v>165882</v>
      </c>
      <c r="J23" s="36">
        <v>75.093707559981894</v>
      </c>
      <c r="K23" s="35">
        <v>10031561</v>
      </c>
      <c r="L23" s="36">
        <v>4541.2227252150296</v>
      </c>
      <c r="M23" s="35">
        <v>428540</v>
      </c>
      <c r="N23" s="36">
        <v>193.9972838388411</v>
      </c>
      <c r="O23" s="35">
        <v>4322639</v>
      </c>
      <c r="P23" s="36">
        <v>1956.8306926210955</v>
      </c>
      <c r="Q23" s="35">
        <v>238313</v>
      </c>
      <c r="R23" s="36">
        <v>107.88275237664101</v>
      </c>
      <c r="S23" s="35">
        <v>3869925</v>
      </c>
      <c r="T23" s="36">
        <v>1751.8899954730648</v>
      </c>
      <c r="U23" s="35">
        <v>187176</v>
      </c>
      <c r="V23" s="36">
        <v>84.733363512901761</v>
      </c>
      <c r="W23" s="35">
        <v>2564095</v>
      </c>
      <c r="X23" s="36">
        <v>1160.7492077863287</v>
      </c>
      <c r="Y23" s="35">
        <v>115504</v>
      </c>
      <c r="Z23" s="36">
        <v>52.287913082842913</v>
      </c>
    </row>
    <row r="24" spans="1:30" x14ac:dyDescent="0.2">
      <c r="A24" s="35" t="s">
        <v>0</v>
      </c>
      <c r="B24" s="35" t="s">
        <v>121</v>
      </c>
      <c r="C24" s="35">
        <v>12980757</v>
      </c>
      <c r="D24" s="36">
        <v>7473.0898100172708</v>
      </c>
      <c r="E24" s="35">
        <v>690285</v>
      </c>
      <c r="F24" s="36">
        <v>397.40069084628669</v>
      </c>
      <c r="G24" s="35">
        <v>5020823</v>
      </c>
      <c r="H24" s="36">
        <v>2890.5141047783536</v>
      </c>
      <c r="I24" s="35">
        <v>238152</v>
      </c>
      <c r="J24" s="36">
        <v>137.10535405872193</v>
      </c>
      <c r="K24" s="35">
        <v>11499831</v>
      </c>
      <c r="L24" s="36">
        <v>6620.5129533678755</v>
      </c>
      <c r="M24" s="35">
        <v>552335</v>
      </c>
      <c r="N24" s="36">
        <v>317.98215313759357</v>
      </c>
      <c r="O24" s="35">
        <v>6213753</v>
      </c>
      <c r="P24" s="36">
        <v>3577.2901554404143</v>
      </c>
      <c r="Q24" s="35">
        <v>361934</v>
      </c>
      <c r="R24" s="36">
        <v>208.36729994242947</v>
      </c>
      <c r="S24" s="35">
        <v>5861791</v>
      </c>
      <c r="T24" s="36">
        <v>3374.6637881404722</v>
      </c>
      <c r="U24" s="35">
        <v>394363</v>
      </c>
      <c r="V24" s="36">
        <v>227.03684513529072</v>
      </c>
      <c r="W24" s="35">
        <v>2465140</v>
      </c>
      <c r="X24" s="36">
        <v>1419.1940126655152</v>
      </c>
      <c r="Y24" s="35">
        <v>135434</v>
      </c>
      <c r="Z24" s="36">
        <v>77.970063327576284</v>
      </c>
    </row>
    <row r="25" spans="1:30" x14ac:dyDescent="0.2">
      <c r="A25" s="35" t="s">
        <v>1</v>
      </c>
      <c r="B25" s="35" t="s">
        <v>122</v>
      </c>
      <c r="C25" s="35">
        <v>3344978</v>
      </c>
      <c r="D25" s="36">
        <v>2169.2464332036316</v>
      </c>
      <c r="E25" s="35">
        <v>259654</v>
      </c>
      <c r="F25" s="36">
        <v>168.38780804150454</v>
      </c>
      <c r="G25" s="35">
        <v>2057113</v>
      </c>
      <c r="H25" s="36">
        <v>1334.0551232166017</v>
      </c>
      <c r="I25" s="35">
        <v>98353</v>
      </c>
      <c r="J25" s="36">
        <v>63.782749675745784</v>
      </c>
      <c r="K25" s="35">
        <v>8056137</v>
      </c>
      <c r="L25" s="36">
        <v>5224.4727626459144</v>
      </c>
      <c r="M25" s="35">
        <v>331374</v>
      </c>
      <c r="N25" s="36">
        <v>214.8988326848249</v>
      </c>
      <c r="O25" s="35">
        <v>3150801</v>
      </c>
      <c r="P25" s="36">
        <v>2043.3210116731518</v>
      </c>
      <c r="Q25" s="35">
        <v>160528</v>
      </c>
      <c r="R25" s="36">
        <v>104.10376134889754</v>
      </c>
      <c r="S25" s="35">
        <v>3734215</v>
      </c>
      <c r="T25" s="36">
        <v>2421.6699092088197</v>
      </c>
      <c r="U25" s="35">
        <v>242859</v>
      </c>
      <c r="V25" s="36">
        <v>157.49610894941634</v>
      </c>
      <c r="W25" s="35">
        <v>1713880</v>
      </c>
      <c r="X25" s="36">
        <v>1111.4656290531777</v>
      </c>
      <c r="Y25" s="35">
        <v>82878</v>
      </c>
      <c r="Z25" s="36">
        <v>53.747081712062254</v>
      </c>
    </row>
    <row r="26" spans="1:30" x14ac:dyDescent="0.2">
      <c r="A26" s="35" t="s">
        <v>2</v>
      </c>
      <c r="B26" s="35" t="s">
        <v>123</v>
      </c>
      <c r="C26" s="35">
        <v>5151936</v>
      </c>
      <c r="D26" s="36">
        <v>3575.2505204718946</v>
      </c>
      <c r="E26" s="35">
        <v>308465</v>
      </c>
      <c r="F26" s="36">
        <v>214.06315058986814</v>
      </c>
      <c r="G26" s="35">
        <v>4432390</v>
      </c>
      <c r="H26" s="36">
        <v>3075.9125607217211</v>
      </c>
      <c r="I26" s="35">
        <v>146945</v>
      </c>
      <c r="J26" s="36">
        <v>101.97432338653712</v>
      </c>
      <c r="K26" s="35">
        <v>9080812</v>
      </c>
      <c r="L26" s="36">
        <v>6301.7432338653716</v>
      </c>
      <c r="M26" s="35">
        <v>289282</v>
      </c>
      <c r="N26" s="36">
        <v>200.75086745315753</v>
      </c>
      <c r="O26" s="35">
        <v>4082295</v>
      </c>
      <c r="P26" s="36">
        <v>2832.9597501734906</v>
      </c>
      <c r="Q26" s="35">
        <v>149243</v>
      </c>
      <c r="R26" s="36">
        <v>103.56904927133935</v>
      </c>
      <c r="S26" s="35">
        <v>1413232</v>
      </c>
      <c r="T26" s="36">
        <v>980.73004857737681</v>
      </c>
      <c r="U26" s="35">
        <v>90226</v>
      </c>
      <c r="V26" s="36">
        <v>62.613462873004856</v>
      </c>
      <c r="W26" s="35">
        <v>571224</v>
      </c>
      <c r="X26" s="36">
        <v>396.40804996530187</v>
      </c>
      <c r="Y26" s="35">
        <v>26575</v>
      </c>
      <c r="Z26" s="36">
        <v>18.442054129077029</v>
      </c>
    </row>
    <row r="27" spans="1:30" x14ac:dyDescent="0.2">
      <c r="A27" s="35" t="s">
        <v>3</v>
      </c>
      <c r="B27" s="35" t="s">
        <v>124</v>
      </c>
      <c r="C27" s="35">
        <v>4389930</v>
      </c>
      <c r="D27" s="36">
        <v>4381.1676646706583</v>
      </c>
      <c r="E27" s="35">
        <v>320161</v>
      </c>
      <c r="F27" s="36">
        <v>319.52195608782438</v>
      </c>
      <c r="G27" s="35">
        <v>2781688</v>
      </c>
      <c r="H27" s="36">
        <v>2776.135728542914</v>
      </c>
      <c r="I27" s="35">
        <v>149636</v>
      </c>
      <c r="J27" s="36">
        <v>149.33732534930141</v>
      </c>
      <c r="K27" s="35">
        <v>12631743</v>
      </c>
      <c r="L27" s="36">
        <v>12606.529940119761</v>
      </c>
      <c r="M27" s="35">
        <v>516699</v>
      </c>
      <c r="N27" s="36">
        <v>515.66766467065872</v>
      </c>
      <c r="O27" s="35">
        <v>4797680</v>
      </c>
      <c r="P27" s="36">
        <v>4788.1037924151697</v>
      </c>
      <c r="Q27" s="35">
        <v>294713</v>
      </c>
      <c r="R27" s="36">
        <v>294.124750499002</v>
      </c>
      <c r="S27" s="35">
        <v>5538281</v>
      </c>
      <c r="T27" s="36">
        <v>5527.2265469061877</v>
      </c>
      <c r="U27" s="35">
        <v>384463</v>
      </c>
      <c r="V27" s="36">
        <v>383.6956087824351</v>
      </c>
      <c r="W27" s="35">
        <v>2911037</v>
      </c>
      <c r="X27" s="36">
        <v>2905.2265469061877</v>
      </c>
      <c r="Y27" s="35">
        <v>153902</v>
      </c>
      <c r="Z27" s="36">
        <v>153.59481037924152</v>
      </c>
    </row>
    <row r="28" spans="1:30" x14ac:dyDescent="0.2">
      <c r="A28" s="37" t="s">
        <v>4</v>
      </c>
      <c r="B28" s="37" t="s">
        <v>125</v>
      </c>
      <c r="C28" s="37">
        <v>3945810</v>
      </c>
      <c r="D28" s="38">
        <v>2115.7158176943699</v>
      </c>
      <c r="E28" s="37">
        <v>211290</v>
      </c>
      <c r="F28" s="38">
        <v>113.29222520107238</v>
      </c>
      <c r="G28" s="37">
        <v>2044788</v>
      </c>
      <c r="H28" s="38">
        <v>1096.401072386059</v>
      </c>
      <c r="I28" s="37">
        <v>94551</v>
      </c>
      <c r="J28" s="38">
        <v>50.697587131367293</v>
      </c>
      <c r="K28" s="37">
        <v>8124980</v>
      </c>
      <c r="L28" s="38">
        <v>4356.5576407506705</v>
      </c>
      <c r="M28" s="37">
        <v>396369</v>
      </c>
      <c r="N28" s="38">
        <v>212.53029490616623</v>
      </c>
      <c r="O28" s="37">
        <v>3376676</v>
      </c>
      <c r="P28" s="38">
        <v>1810.5501340482574</v>
      </c>
      <c r="Q28" s="37">
        <v>180766</v>
      </c>
      <c r="R28" s="38">
        <v>96.925469168900804</v>
      </c>
      <c r="S28" s="37">
        <v>5789523</v>
      </c>
      <c r="T28" s="38">
        <v>3104.3018766756031</v>
      </c>
      <c r="U28" s="37">
        <v>303286</v>
      </c>
      <c r="V28" s="38">
        <v>162.61983914209117</v>
      </c>
      <c r="W28" s="37">
        <v>1210094</v>
      </c>
      <c r="X28" s="38">
        <v>648.84396782841827</v>
      </c>
      <c r="Y28" s="37">
        <v>53641</v>
      </c>
      <c r="Z28" s="38">
        <v>28.761930294906165</v>
      </c>
    </row>
    <row r="29" spans="1:30" x14ac:dyDescent="0.2">
      <c r="A29" s="51" t="s">
        <v>6</v>
      </c>
      <c r="B29" s="51"/>
      <c r="C29" s="8">
        <v>43575916</v>
      </c>
      <c r="D29" s="39">
        <v>3245.1531128984211</v>
      </c>
      <c r="E29" s="8">
        <v>2688498</v>
      </c>
      <c r="F29" s="39">
        <v>200.21581769436997</v>
      </c>
      <c r="G29" s="8">
        <v>28462613</v>
      </c>
      <c r="H29" s="39">
        <v>2119.6464849568065</v>
      </c>
      <c r="I29" s="8">
        <v>1294745</v>
      </c>
      <c r="J29" s="39">
        <v>96.421283884420617</v>
      </c>
      <c r="K29" s="8">
        <v>76499539</v>
      </c>
      <c r="L29" s="39">
        <v>5697.016607089663</v>
      </c>
      <c r="M29" s="8">
        <v>3373896</v>
      </c>
      <c r="N29" s="39">
        <v>251.25826630920466</v>
      </c>
      <c r="O29" s="8">
        <v>32394822</v>
      </c>
      <c r="P29" s="39">
        <v>2412.4830205540661</v>
      </c>
      <c r="Q29" s="8">
        <v>1707092</v>
      </c>
      <c r="R29" s="39">
        <v>127.12928209711052</v>
      </c>
      <c r="S29" s="8">
        <v>29865061</v>
      </c>
      <c r="T29" s="39">
        <v>2224.0885463211202</v>
      </c>
      <c r="U29" s="8">
        <v>1865184</v>
      </c>
      <c r="V29" s="39">
        <v>138.90259159964253</v>
      </c>
      <c r="W29" s="8">
        <v>16119388</v>
      </c>
      <c r="X29" s="39">
        <v>1200.4310396187072</v>
      </c>
      <c r="Y29" s="8">
        <v>781512</v>
      </c>
      <c r="Z29" s="39">
        <v>58.200178731009828</v>
      </c>
    </row>
    <row r="32" spans="1:30" x14ac:dyDescent="0.2">
      <c r="A32" s="18" t="s">
        <v>103</v>
      </c>
      <c r="B32" s="1"/>
      <c r="C32" s="52" t="s">
        <v>92</v>
      </c>
      <c r="D32" s="52"/>
      <c r="E32" s="52"/>
      <c r="F32" s="52"/>
      <c r="G32" s="52" t="s">
        <v>102</v>
      </c>
      <c r="H32" s="52"/>
      <c r="I32" s="52"/>
      <c r="J32" s="52"/>
      <c r="K32" s="52" t="s">
        <v>94</v>
      </c>
      <c r="L32" s="52"/>
      <c r="M32" s="52"/>
      <c r="N32" s="52"/>
      <c r="O32" s="52" t="s">
        <v>96</v>
      </c>
      <c r="P32" s="52"/>
      <c r="Q32" s="52"/>
      <c r="R32" s="52"/>
      <c r="S32" s="52" t="s">
        <v>97</v>
      </c>
      <c r="T32" s="52"/>
      <c r="U32" s="52"/>
      <c r="V32" s="52"/>
      <c r="W32" s="52" t="s">
        <v>98</v>
      </c>
      <c r="X32" s="52"/>
      <c r="Y32" s="52"/>
      <c r="Z32" s="52"/>
      <c r="AA32" s="52" t="s">
        <v>99</v>
      </c>
      <c r="AB32" s="52"/>
      <c r="AC32" s="52"/>
      <c r="AD32" s="52"/>
    </row>
    <row r="33" spans="1:30" ht="15.6" x14ac:dyDescent="0.2">
      <c r="A33" s="1"/>
      <c r="B33" s="1"/>
      <c r="C33" s="52" t="s">
        <v>7</v>
      </c>
      <c r="D33" s="52"/>
      <c r="E33" s="52" t="s">
        <v>247</v>
      </c>
      <c r="F33" s="52"/>
      <c r="G33" s="52" t="s">
        <v>7</v>
      </c>
      <c r="H33" s="52"/>
      <c r="I33" s="52" t="s">
        <v>247</v>
      </c>
      <c r="J33" s="52"/>
      <c r="K33" s="52" t="s">
        <v>7</v>
      </c>
      <c r="L33" s="52"/>
      <c r="M33" s="52" t="s">
        <v>247</v>
      </c>
      <c r="N33" s="52"/>
      <c r="O33" s="52" t="s">
        <v>7</v>
      </c>
      <c r="P33" s="52"/>
      <c r="Q33" s="52" t="s">
        <v>247</v>
      </c>
      <c r="R33" s="52"/>
      <c r="S33" s="52" t="s">
        <v>7</v>
      </c>
      <c r="T33" s="52"/>
      <c r="U33" s="52" t="s">
        <v>247</v>
      </c>
      <c r="V33" s="52"/>
      <c r="W33" s="52" t="s">
        <v>7</v>
      </c>
      <c r="X33" s="52"/>
      <c r="Y33" s="52" t="s">
        <v>247</v>
      </c>
      <c r="Z33" s="52"/>
      <c r="AA33" s="52" t="s">
        <v>7</v>
      </c>
      <c r="AB33" s="52"/>
      <c r="AC33" s="52" t="s">
        <v>247</v>
      </c>
      <c r="AD33" s="52"/>
    </row>
    <row r="34" spans="1:30" ht="12.75" customHeight="1" x14ac:dyDescent="0.2">
      <c r="A34" s="2"/>
      <c r="B34" s="2"/>
      <c r="C34" s="56" t="s">
        <v>230</v>
      </c>
      <c r="D34" s="56"/>
      <c r="E34" s="56"/>
      <c r="F34" s="56"/>
      <c r="G34" s="56" t="s">
        <v>230</v>
      </c>
      <c r="H34" s="56"/>
      <c r="I34" s="56"/>
      <c r="J34" s="56"/>
      <c r="K34" s="56" t="s">
        <v>230</v>
      </c>
      <c r="L34" s="56"/>
      <c r="M34" s="56"/>
      <c r="N34" s="56"/>
      <c r="O34" s="56" t="s">
        <v>230</v>
      </c>
      <c r="P34" s="56"/>
      <c r="Q34" s="56"/>
      <c r="R34" s="56"/>
      <c r="S34" s="56" t="s">
        <v>230</v>
      </c>
      <c r="T34" s="56"/>
      <c r="U34" s="56"/>
      <c r="V34" s="56"/>
      <c r="W34" s="56" t="s">
        <v>230</v>
      </c>
      <c r="X34" s="56"/>
      <c r="Y34" s="56"/>
      <c r="Z34" s="56"/>
      <c r="AA34" s="56" t="s">
        <v>230</v>
      </c>
      <c r="AB34" s="56"/>
      <c r="AC34" s="56"/>
      <c r="AD34" s="56"/>
    </row>
    <row r="35" spans="1:30" x14ac:dyDescent="0.2">
      <c r="A35" s="6" t="s">
        <v>10</v>
      </c>
      <c r="B35" s="6" t="s">
        <v>11</v>
      </c>
      <c r="C35" s="6">
        <v>2333</v>
      </c>
      <c r="D35" s="7">
        <v>3.8893704987996797E-2</v>
      </c>
      <c r="E35" s="13">
        <v>122</v>
      </c>
      <c r="F35" s="7">
        <v>2.3982701002555534E-2</v>
      </c>
      <c r="G35" s="6">
        <v>1387</v>
      </c>
      <c r="H35" s="7">
        <v>1.9220642443391257E-2</v>
      </c>
      <c r="I35" s="13">
        <v>83</v>
      </c>
      <c r="J35" s="7">
        <v>1.7754010695187165E-2</v>
      </c>
      <c r="K35" s="6">
        <v>996</v>
      </c>
      <c r="L35" s="7">
        <v>3.4609771353116964E-2</v>
      </c>
      <c r="M35" s="13">
        <v>67</v>
      </c>
      <c r="N35" s="7">
        <v>2.8743028743028743E-2</v>
      </c>
      <c r="O35" s="6">
        <v>1142</v>
      </c>
      <c r="P35" s="7">
        <v>3.3926502480615552E-2</v>
      </c>
      <c r="Q35" s="13">
        <v>45</v>
      </c>
      <c r="R35" s="7">
        <v>1.5603328710124827E-2</v>
      </c>
      <c r="S35" s="6">
        <v>968</v>
      </c>
      <c r="T35" s="7">
        <v>3.4864037457230324E-2</v>
      </c>
      <c r="U35" s="13">
        <v>68</v>
      </c>
      <c r="V35" s="7">
        <v>2.0974706971005553E-2</v>
      </c>
      <c r="W35" s="6">
        <v>3362</v>
      </c>
      <c r="X35" s="7">
        <v>2.8036759677769068E-2</v>
      </c>
      <c r="Y35" s="6">
        <v>172</v>
      </c>
      <c r="Z35" s="7">
        <v>2.0643302928468554E-2</v>
      </c>
      <c r="AA35" s="6">
        <v>2624</v>
      </c>
      <c r="AB35" s="7">
        <v>2.7480756139707806E-2</v>
      </c>
      <c r="AC35" s="6">
        <v>116</v>
      </c>
      <c r="AD35" s="7">
        <v>1.4041883549207117E-2</v>
      </c>
    </row>
    <row r="36" spans="1:30" x14ac:dyDescent="0.2">
      <c r="A36" s="2" t="s">
        <v>9</v>
      </c>
      <c r="B36" s="2" t="s">
        <v>12</v>
      </c>
      <c r="C36" s="2">
        <v>2980</v>
      </c>
      <c r="D36" s="4">
        <v>4.9679914643905039E-2</v>
      </c>
      <c r="E36" s="14">
        <v>306</v>
      </c>
      <c r="F36" s="4">
        <v>6.0153332022803221E-2</v>
      </c>
      <c r="G36" s="2">
        <v>5057</v>
      </c>
      <c r="H36" s="4">
        <v>7.0078434633186443E-2</v>
      </c>
      <c r="I36" s="14">
        <v>167</v>
      </c>
      <c r="J36" s="4">
        <v>3.5721925133689839E-2</v>
      </c>
      <c r="K36" s="2">
        <v>2159</v>
      </c>
      <c r="L36" s="4">
        <v>7.5022586698172217E-2</v>
      </c>
      <c r="M36" s="14">
        <v>119</v>
      </c>
      <c r="N36" s="4">
        <v>5.1051051051051052E-2</v>
      </c>
      <c r="O36" s="2">
        <v>1304</v>
      </c>
      <c r="P36" s="4">
        <v>3.87391937256766E-2</v>
      </c>
      <c r="Q36" s="14">
        <v>81</v>
      </c>
      <c r="R36" s="4">
        <v>2.8085991678224689E-2</v>
      </c>
      <c r="S36" s="2">
        <v>957</v>
      </c>
      <c r="T36" s="4">
        <v>3.4467855213398166E-2</v>
      </c>
      <c r="U36" s="14">
        <v>81</v>
      </c>
      <c r="V36" s="4">
        <v>2.4984577421344849E-2</v>
      </c>
      <c r="W36" s="2">
        <v>4960</v>
      </c>
      <c r="X36" s="4">
        <v>4.136297680004003E-2</v>
      </c>
      <c r="Y36" s="2">
        <v>275</v>
      </c>
      <c r="Z36" s="4">
        <v>3.3005280844935189E-2</v>
      </c>
      <c r="AA36" s="2">
        <v>6500</v>
      </c>
      <c r="AB36" s="4">
        <v>6.8073519400953034E-2</v>
      </c>
      <c r="AC36" s="2">
        <v>247</v>
      </c>
      <c r="AD36" s="4">
        <v>2.9899527902191018E-2</v>
      </c>
    </row>
    <row r="37" spans="1:30" x14ac:dyDescent="0.2">
      <c r="A37" s="2" t="s">
        <v>8</v>
      </c>
      <c r="B37" s="2" t="s">
        <v>13</v>
      </c>
      <c r="C37" s="2">
        <v>3629</v>
      </c>
      <c r="D37" s="4">
        <v>6.0499466524406506E-2</v>
      </c>
      <c r="E37" s="14">
        <v>209</v>
      </c>
      <c r="F37" s="4">
        <v>4.1085118930607428E-2</v>
      </c>
      <c r="G37" s="2">
        <v>4843</v>
      </c>
      <c r="H37" s="4">
        <v>6.711288489786868E-2</v>
      </c>
      <c r="I37" s="14">
        <v>240</v>
      </c>
      <c r="J37" s="4">
        <v>5.1336898395721926E-2</v>
      </c>
      <c r="K37" s="2">
        <v>2045</v>
      </c>
      <c r="L37" s="4">
        <v>7.1061227326429915E-2</v>
      </c>
      <c r="M37" s="14">
        <v>118</v>
      </c>
      <c r="N37" s="4">
        <v>5.0622050622050621E-2</v>
      </c>
      <c r="O37" s="2">
        <v>2128</v>
      </c>
      <c r="P37" s="4">
        <v>6.3218561540061197E-2</v>
      </c>
      <c r="Q37" s="14">
        <v>86</v>
      </c>
      <c r="R37" s="4">
        <v>2.9819694868238558E-2</v>
      </c>
      <c r="S37" s="2">
        <v>1191</v>
      </c>
      <c r="T37" s="4">
        <v>4.2895732036736897E-2</v>
      </c>
      <c r="U37" s="14">
        <v>102</v>
      </c>
      <c r="V37" s="4">
        <v>3.1462060456508331E-2</v>
      </c>
      <c r="W37" s="2">
        <v>8106</v>
      </c>
      <c r="X37" s="4">
        <v>6.7598445552646061E-2</v>
      </c>
      <c r="Y37" s="2">
        <v>432</v>
      </c>
      <c r="Z37" s="4">
        <v>5.1848295727316369E-2</v>
      </c>
      <c r="AA37" s="2">
        <v>5878</v>
      </c>
      <c r="AB37" s="4">
        <v>6.1559407236738757E-2</v>
      </c>
      <c r="AC37" s="2">
        <v>234</v>
      </c>
      <c r="AD37" s="4">
        <v>2.8325868538917807E-2</v>
      </c>
    </row>
    <row r="38" spans="1:30" x14ac:dyDescent="0.2">
      <c r="A38" s="2" t="s">
        <v>0</v>
      </c>
      <c r="B38" s="2" t="s">
        <v>14</v>
      </c>
      <c r="C38" s="2">
        <v>8154</v>
      </c>
      <c r="D38" s="4">
        <v>0.13593624966657775</v>
      </c>
      <c r="E38" s="14">
        <v>474</v>
      </c>
      <c r="F38" s="4">
        <v>9.3178690780420681E-2</v>
      </c>
      <c r="G38" s="2">
        <v>7994</v>
      </c>
      <c r="H38" s="4">
        <v>0.11077852609406613</v>
      </c>
      <c r="I38" s="14">
        <v>397</v>
      </c>
      <c r="J38" s="4">
        <v>8.491978609625668E-2</v>
      </c>
      <c r="K38" s="2">
        <v>2153</v>
      </c>
      <c r="L38" s="4">
        <v>7.4814094099659459E-2</v>
      </c>
      <c r="M38" s="14">
        <v>149</v>
      </c>
      <c r="N38" s="4">
        <v>6.392106392106392E-2</v>
      </c>
      <c r="O38" s="2">
        <v>4060</v>
      </c>
      <c r="P38" s="4">
        <v>0.1206143608330115</v>
      </c>
      <c r="Q38" s="14">
        <v>228</v>
      </c>
      <c r="R38" s="4">
        <v>7.9056865464632461E-2</v>
      </c>
      <c r="S38" s="2">
        <v>3002</v>
      </c>
      <c r="T38" s="4">
        <v>0.10812173599855934</v>
      </c>
      <c r="U38" s="14">
        <v>205</v>
      </c>
      <c r="V38" s="4">
        <v>6.3232572486119673E-2</v>
      </c>
      <c r="W38" s="2">
        <v>19124</v>
      </c>
      <c r="X38" s="4">
        <v>0.15948096135563822</v>
      </c>
      <c r="Y38" s="2">
        <v>1007</v>
      </c>
      <c r="Z38" s="4">
        <v>0.12085933749399903</v>
      </c>
      <c r="AA38" s="2">
        <v>8817</v>
      </c>
      <c r="AB38" s="4">
        <v>9.2339110855108139E-2</v>
      </c>
      <c r="AC38" s="2">
        <v>458</v>
      </c>
      <c r="AD38" s="4">
        <v>5.5441229875317757E-2</v>
      </c>
    </row>
    <row r="39" spans="1:30" x14ac:dyDescent="0.2">
      <c r="A39" s="2" t="s">
        <v>1</v>
      </c>
      <c r="B39" s="2" t="s">
        <v>15</v>
      </c>
      <c r="C39" s="2">
        <v>6020</v>
      </c>
      <c r="D39" s="4">
        <v>0.10036009602560683</v>
      </c>
      <c r="E39" s="14">
        <v>405</v>
      </c>
      <c r="F39" s="4">
        <v>7.96147041478278E-2</v>
      </c>
      <c r="G39" s="2">
        <v>4547</v>
      </c>
      <c r="H39" s="4">
        <v>6.3011003020980574E-2</v>
      </c>
      <c r="I39" s="14">
        <v>236</v>
      </c>
      <c r="J39" s="4">
        <v>5.0481283422459895E-2</v>
      </c>
      <c r="K39" s="2">
        <v>1011</v>
      </c>
      <c r="L39" s="4">
        <v>3.5131002849398844E-2</v>
      </c>
      <c r="M39" s="14">
        <v>83</v>
      </c>
      <c r="N39" s="4">
        <v>3.5607035607035604E-2</v>
      </c>
      <c r="O39" s="2">
        <v>1978</v>
      </c>
      <c r="P39" s="4">
        <v>5.8762365942782446E-2</v>
      </c>
      <c r="Q39" s="14">
        <v>128</v>
      </c>
      <c r="R39" s="4">
        <v>4.4382801664355064E-2</v>
      </c>
      <c r="S39" s="2">
        <v>1086</v>
      </c>
      <c r="T39" s="4">
        <v>3.9113992436520799E-2</v>
      </c>
      <c r="U39" s="14">
        <v>98</v>
      </c>
      <c r="V39" s="4">
        <v>3.0228254164096236E-2</v>
      </c>
      <c r="W39" s="2">
        <v>7955</v>
      </c>
      <c r="X39" s="4">
        <v>6.6339209766999682E-2</v>
      </c>
      <c r="Y39" s="2">
        <v>464</v>
      </c>
      <c r="Z39" s="4">
        <v>5.5688910225636101E-2</v>
      </c>
      <c r="AA39" s="2">
        <v>6612</v>
      </c>
      <c r="AB39" s="4">
        <v>6.9246478504477141E-2</v>
      </c>
      <c r="AC39" s="2">
        <v>277</v>
      </c>
      <c r="AD39" s="4">
        <v>3.353104950974458E-2</v>
      </c>
    </row>
    <row r="40" spans="1:30" x14ac:dyDescent="0.2">
      <c r="A40" s="2" t="s">
        <v>2</v>
      </c>
      <c r="B40" s="2" t="s">
        <v>16</v>
      </c>
      <c r="C40" s="2">
        <v>10055</v>
      </c>
      <c r="D40" s="4">
        <v>0.16762803414243799</v>
      </c>
      <c r="E40" s="14">
        <v>550</v>
      </c>
      <c r="F40" s="4">
        <v>0.10811873402791429</v>
      </c>
      <c r="G40" s="2">
        <v>6605</v>
      </c>
      <c r="H40" s="4">
        <v>9.1530168232587791E-2</v>
      </c>
      <c r="I40" s="14">
        <v>333</v>
      </c>
      <c r="J40" s="4">
        <v>7.1229946524064169E-2</v>
      </c>
      <c r="K40" s="2">
        <v>1450</v>
      </c>
      <c r="L40" s="4">
        <v>5.0385711307248594E-2</v>
      </c>
      <c r="M40" s="14">
        <v>104</v>
      </c>
      <c r="N40" s="4">
        <v>4.4616044616044619E-2</v>
      </c>
      <c r="O40" s="2">
        <v>3704</v>
      </c>
      <c r="P40" s="4">
        <v>0.1100383232821366</v>
      </c>
      <c r="Q40" s="14">
        <v>249</v>
      </c>
      <c r="R40" s="4">
        <v>8.6338418862690711E-2</v>
      </c>
      <c r="S40" s="2">
        <v>2420</v>
      </c>
      <c r="T40" s="4">
        <v>8.7160093643075809E-2</v>
      </c>
      <c r="U40" s="14">
        <v>195</v>
      </c>
      <c r="V40" s="4">
        <v>6.0148056755089448E-2</v>
      </c>
      <c r="W40" s="2">
        <v>12937</v>
      </c>
      <c r="X40" s="4">
        <v>0.1078856513834915</v>
      </c>
      <c r="Y40" s="2">
        <v>601</v>
      </c>
      <c r="Z40" s="4">
        <v>7.2131541046567452E-2</v>
      </c>
      <c r="AA40" s="2">
        <v>11104</v>
      </c>
      <c r="AB40" s="4">
        <v>0.116290516835105</v>
      </c>
      <c r="AC40" s="2">
        <v>608</v>
      </c>
      <c r="AD40" s="4">
        <v>7.359883791308558E-2</v>
      </c>
    </row>
    <row r="41" spans="1:30" x14ac:dyDescent="0.2">
      <c r="A41" s="2" t="s">
        <v>3</v>
      </c>
      <c r="B41" s="2" t="s">
        <v>17</v>
      </c>
      <c r="C41" s="2">
        <v>18302</v>
      </c>
      <c r="D41" s="4">
        <v>0.30511469725260071</v>
      </c>
      <c r="E41" s="14">
        <v>1085</v>
      </c>
      <c r="F41" s="4">
        <v>0.21328877530961274</v>
      </c>
      <c r="G41" s="2">
        <v>17326</v>
      </c>
      <c r="H41" s="4">
        <v>0.24009866688839002</v>
      </c>
      <c r="I41" s="14">
        <v>1022</v>
      </c>
      <c r="J41" s="4">
        <v>0.21860962566844919</v>
      </c>
      <c r="K41" s="2">
        <v>9124</v>
      </c>
      <c r="L41" s="4">
        <v>0.31704774480505943</v>
      </c>
      <c r="M41" s="14">
        <v>498</v>
      </c>
      <c r="N41" s="4">
        <v>0.21364221364221364</v>
      </c>
      <c r="O41" s="2">
        <v>11489</v>
      </c>
      <c r="P41" s="4">
        <v>0.34131487478090372</v>
      </c>
      <c r="Q41" s="14">
        <v>770</v>
      </c>
      <c r="R41" s="4">
        <v>0.26699029126213591</v>
      </c>
      <c r="S41" s="2">
        <v>4147</v>
      </c>
      <c r="T41" s="4">
        <v>0.14936070592472536</v>
      </c>
      <c r="U41" s="14">
        <v>441</v>
      </c>
      <c r="V41" s="4">
        <v>0.13602714373843305</v>
      </c>
      <c r="W41" s="2">
        <v>36449</v>
      </c>
      <c r="X41" s="4">
        <v>0.30395950431142321</v>
      </c>
      <c r="Y41" s="2">
        <v>2280</v>
      </c>
      <c r="Z41" s="4">
        <v>0.27364378300528086</v>
      </c>
      <c r="AA41" s="2">
        <v>39603</v>
      </c>
      <c r="AB41" s="4">
        <v>0.41475624443629888</v>
      </c>
      <c r="AC41" s="2">
        <v>3452</v>
      </c>
      <c r="AD41" s="4">
        <v>0.41786708630916353</v>
      </c>
    </row>
    <row r="42" spans="1:30" x14ac:dyDescent="0.2">
      <c r="A42" s="2" t="s">
        <v>4</v>
      </c>
      <c r="B42" s="2" t="s">
        <v>18</v>
      </c>
      <c r="C42" s="2">
        <v>5879</v>
      </c>
      <c r="D42" s="4">
        <v>9.8009469191784479E-2</v>
      </c>
      <c r="E42" s="14">
        <v>444</v>
      </c>
      <c r="F42" s="4">
        <v>8.7281305287988997E-2</v>
      </c>
      <c r="G42" s="2">
        <v>9169</v>
      </c>
      <c r="H42" s="4">
        <v>0.12706133422022672</v>
      </c>
      <c r="I42" s="14">
        <v>506</v>
      </c>
      <c r="J42" s="4">
        <v>0.10823529411764705</v>
      </c>
      <c r="K42" s="2">
        <v>4107</v>
      </c>
      <c r="L42" s="4">
        <v>0.1427131836819793</v>
      </c>
      <c r="M42" s="14">
        <v>238</v>
      </c>
      <c r="N42" s="4">
        <v>0.1021021021021021</v>
      </c>
      <c r="O42" s="2">
        <v>5064</v>
      </c>
      <c r="P42" s="4">
        <v>0.1504411633641306</v>
      </c>
      <c r="Q42" s="14">
        <v>344</v>
      </c>
      <c r="R42" s="4">
        <v>0.11927877947295423</v>
      </c>
      <c r="S42" s="2">
        <v>2410</v>
      </c>
      <c r="T42" s="4">
        <v>8.6799927966864754E-2</v>
      </c>
      <c r="U42" s="14">
        <v>277</v>
      </c>
      <c r="V42" s="4">
        <v>8.5441085749537321E-2</v>
      </c>
      <c r="W42" s="2">
        <v>21944</v>
      </c>
      <c r="X42" s="4">
        <v>0.18299781510082225</v>
      </c>
      <c r="Y42" s="2">
        <v>1321</v>
      </c>
      <c r="Z42" s="4">
        <v>0.15854536725876139</v>
      </c>
      <c r="AA42" s="2">
        <v>11161</v>
      </c>
      <c r="AB42" s="4">
        <v>0.11688746923600565</v>
      </c>
      <c r="AC42" s="2">
        <v>793</v>
      </c>
      <c r="AD42" s="4">
        <v>9.5993221159665895E-2</v>
      </c>
    </row>
    <row r="43" spans="1:30" x14ac:dyDescent="0.2">
      <c r="A43" s="55" t="s">
        <v>5</v>
      </c>
      <c r="B43" s="55"/>
      <c r="C43" s="8">
        <v>2632</v>
      </c>
      <c r="D43" s="10">
        <v>4.3878367564683919E-2</v>
      </c>
      <c r="E43" s="15">
        <v>1492</v>
      </c>
      <c r="F43" s="10">
        <v>0.29329663849026932</v>
      </c>
      <c r="G43" s="8">
        <v>15234</v>
      </c>
      <c r="H43" s="10">
        <v>0.21110833956930242</v>
      </c>
      <c r="I43" s="15">
        <v>1691</v>
      </c>
      <c r="J43" s="10">
        <v>0.36171122994652405</v>
      </c>
      <c r="K43" s="8">
        <v>5733</v>
      </c>
      <c r="L43" s="10">
        <v>0.19921467787893529</v>
      </c>
      <c r="M43" s="15">
        <v>955</v>
      </c>
      <c r="N43" s="10">
        <v>0.40969540969540968</v>
      </c>
      <c r="O43" s="8">
        <v>2792</v>
      </c>
      <c r="P43" s="10">
        <v>8.2944654050681799E-2</v>
      </c>
      <c r="Q43" s="15">
        <v>953</v>
      </c>
      <c r="R43" s="10">
        <v>0.33044382801664357</v>
      </c>
      <c r="S43" s="8">
        <v>11584</v>
      </c>
      <c r="T43" s="10">
        <v>0.41721591932288854</v>
      </c>
      <c r="U43" s="15">
        <v>1775</v>
      </c>
      <c r="V43" s="10">
        <v>0.54750154225786551</v>
      </c>
      <c r="W43" s="8">
        <v>5077</v>
      </c>
      <c r="X43" s="10">
        <v>4.2338676051170004E-2</v>
      </c>
      <c r="Y43" s="8">
        <v>1780</v>
      </c>
      <c r="Z43" s="10">
        <v>0.21363418146903504</v>
      </c>
      <c r="AA43" s="8">
        <v>3186</v>
      </c>
      <c r="AB43" s="10">
        <v>3.3366497355605595E-2</v>
      </c>
      <c r="AC43" s="8">
        <v>2076</v>
      </c>
      <c r="AD43" s="10">
        <v>0.25130129524270667</v>
      </c>
    </row>
    <row r="44" spans="1:30" x14ac:dyDescent="0.2">
      <c r="A44" s="55" t="s">
        <v>6</v>
      </c>
      <c r="B44" s="55"/>
      <c r="C44" s="8">
        <v>59984</v>
      </c>
      <c r="D44" s="9">
        <v>1</v>
      </c>
      <c r="E44" s="15">
        <v>5087</v>
      </c>
      <c r="F44" s="9">
        <v>1</v>
      </c>
      <c r="G44" s="8">
        <v>72162</v>
      </c>
      <c r="H44" s="9">
        <v>1</v>
      </c>
      <c r="I44" s="15">
        <v>4675</v>
      </c>
      <c r="J44" s="9">
        <v>1</v>
      </c>
      <c r="K44" s="8">
        <v>28778</v>
      </c>
      <c r="L44" s="9">
        <v>1</v>
      </c>
      <c r="M44" s="15">
        <v>2331</v>
      </c>
      <c r="N44" s="9">
        <v>1</v>
      </c>
      <c r="O44" s="8">
        <v>33661</v>
      </c>
      <c r="P44" s="9">
        <v>1</v>
      </c>
      <c r="Q44" s="15">
        <v>2884</v>
      </c>
      <c r="R44" s="9">
        <v>1</v>
      </c>
      <c r="S44" s="8">
        <v>27765</v>
      </c>
      <c r="T44" s="9">
        <v>1</v>
      </c>
      <c r="U44" s="15">
        <v>3242</v>
      </c>
      <c r="V44" s="9">
        <v>1</v>
      </c>
      <c r="W44" s="8">
        <v>119914</v>
      </c>
      <c r="X44" s="9">
        <v>1</v>
      </c>
      <c r="Y44" s="8">
        <v>8332</v>
      </c>
      <c r="Z44" s="9">
        <v>1</v>
      </c>
      <c r="AA44" s="8">
        <v>95485</v>
      </c>
      <c r="AB44" s="9">
        <v>1</v>
      </c>
      <c r="AC44" s="8">
        <v>8261</v>
      </c>
      <c r="AD44" s="9">
        <v>1</v>
      </c>
    </row>
    <row r="45" spans="1:30" x14ac:dyDescent="0.2">
      <c r="AA45" s="31"/>
      <c r="AB45" s="32"/>
      <c r="AC45" s="31"/>
      <c r="AD45" s="32"/>
    </row>
    <row r="46" spans="1:30" x14ac:dyDescent="0.2">
      <c r="A46" s="31"/>
      <c r="B46" s="31"/>
      <c r="C46" s="31"/>
      <c r="D46" s="32"/>
      <c r="E46" s="31"/>
      <c r="F46" s="32"/>
      <c r="G46" s="31"/>
      <c r="H46" s="32"/>
      <c r="I46" s="31"/>
      <c r="J46" s="32"/>
      <c r="K46" s="31"/>
      <c r="L46" s="32"/>
      <c r="M46" s="31"/>
      <c r="N46" s="32"/>
      <c r="O46" s="31"/>
      <c r="P46" s="32"/>
      <c r="Q46" s="31"/>
      <c r="R46" s="32"/>
      <c r="S46" s="31"/>
      <c r="T46" s="32"/>
      <c r="U46" s="31"/>
      <c r="V46" s="32"/>
      <c r="W46" s="31"/>
      <c r="X46" s="32"/>
      <c r="Y46" s="31"/>
      <c r="Z46" s="32"/>
      <c r="AA46" s="31"/>
      <c r="AB46" s="32"/>
      <c r="AC46" s="31"/>
      <c r="AD46" s="32"/>
    </row>
    <row r="47" spans="1:30" x14ac:dyDescent="0.2">
      <c r="A47" s="18"/>
      <c r="B47" s="31"/>
      <c r="C47" s="52" t="s">
        <v>92</v>
      </c>
      <c r="D47" s="52"/>
      <c r="E47" s="52"/>
      <c r="F47" s="52"/>
      <c r="G47" s="52" t="s">
        <v>93</v>
      </c>
      <c r="H47" s="52"/>
      <c r="I47" s="52"/>
      <c r="J47" s="52"/>
      <c r="K47" s="52" t="s">
        <v>94</v>
      </c>
      <c r="L47" s="52"/>
      <c r="M47" s="52"/>
      <c r="N47" s="52"/>
      <c r="O47" s="52" t="s">
        <v>96</v>
      </c>
      <c r="P47" s="52"/>
      <c r="Q47" s="52"/>
      <c r="R47" s="52"/>
      <c r="S47" s="52" t="s">
        <v>97</v>
      </c>
      <c r="T47" s="52"/>
      <c r="U47" s="52"/>
      <c r="V47" s="52"/>
      <c r="W47" s="52" t="s">
        <v>98</v>
      </c>
      <c r="X47" s="52"/>
      <c r="Y47" s="52"/>
      <c r="Z47" s="52"/>
      <c r="AA47" s="52" t="s">
        <v>99</v>
      </c>
      <c r="AB47" s="52"/>
      <c r="AC47" s="52"/>
      <c r="AD47" s="52"/>
    </row>
    <row r="48" spans="1:30" ht="15.6" x14ac:dyDescent="0.2">
      <c r="A48" s="31"/>
      <c r="B48" s="31"/>
      <c r="C48" s="53" t="s">
        <v>115</v>
      </c>
      <c r="D48" s="53"/>
      <c r="E48" s="52" t="s">
        <v>247</v>
      </c>
      <c r="F48" s="52"/>
      <c r="G48" s="53" t="s">
        <v>115</v>
      </c>
      <c r="H48" s="53"/>
      <c r="I48" s="52" t="s">
        <v>247</v>
      </c>
      <c r="J48" s="52"/>
      <c r="K48" s="53" t="s">
        <v>115</v>
      </c>
      <c r="L48" s="53"/>
      <c r="M48" s="52" t="s">
        <v>247</v>
      </c>
      <c r="N48" s="52"/>
      <c r="O48" s="53" t="s">
        <v>115</v>
      </c>
      <c r="P48" s="53"/>
      <c r="Q48" s="52" t="s">
        <v>247</v>
      </c>
      <c r="R48" s="52"/>
      <c r="S48" s="53" t="s">
        <v>115</v>
      </c>
      <c r="T48" s="53"/>
      <c r="U48" s="52" t="s">
        <v>247</v>
      </c>
      <c r="V48" s="52"/>
      <c r="W48" s="53" t="s">
        <v>115</v>
      </c>
      <c r="X48" s="53"/>
      <c r="Y48" s="52" t="s">
        <v>247</v>
      </c>
      <c r="Z48" s="52"/>
      <c r="AA48" s="53" t="s">
        <v>115</v>
      </c>
      <c r="AB48" s="53"/>
      <c r="AC48" s="52" t="s">
        <v>247</v>
      </c>
      <c r="AD48" s="52"/>
    </row>
    <row r="49" spans="1:30" ht="12.75" customHeight="1" x14ac:dyDescent="0.2">
      <c r="A49" s="35"/>
      <c r="B49" s="35"/>
      <c r="C49" s="50" t="s">
        <v>231</v>
      </c>
      <c r="D49" s="50"/>
      <c r="E49" s="50"/>
      <c r="F49" s="50"/>
      <c r="G49" s="50" t="s">
        <v>231</v>
      </c>
      <c r="H49" s="50"/>
      <c r="I49" s="50"/>
      <c r="J49" s="50"/>
      <c r="K49" s="50" t="s">
        <v>231</v>
      </c>
      <c r="L49" s="50"/>
      <c r="M49" s="50"/>
      <c r="N49" s="50"/>
      <c r="O49" s="50" t="s">
        <v>231</v>
      </c>
      <c r="P49" s="50"/>
      <c r="Q49" s="50"/>
      <c r="R49" s="50"/>
      <c r="S49" s="50" t="s">
        <v>231</v>
      </c>
      <c r="T49" s="50"/>
      <c r="U49" s="50"/>
      <c r="V49" s="50"/>
      <c r="W49" s="50" t="s">
        <v>231</v>
      </c>
      <c r="X49" s="50"/>
      <c r="Y49" s="50"/>
      <c r="Z49" s="50"/>
      <c r="AA49" s="50" t="s">
        <v>231</v>
      </c>
      <c r="AB49" s="50"/>
      <c r="AC49" s="50"/>
      <c r="AD49" s="50"/>
    </row>
    <row r="50" spans="1:30" x14ac:dyDescent="0.2">
      <c r="A50" s="33" t="s">
        <v>116</v>
      </c>
      <c r="B50" s="33" t="s">
        <v>126</v>
      </c>
      <c r="C50" s="33">
        <v>4947938</v>
      </c>
      <c r="D50" s="34">
        <v>2090.3836079425432</v>
      </c>
      <c r="E50" s="33">
        <v>238122</v>
      </c>
      <c r="F50" s="34">
        <v>100.60076045627376</v>
      </c>
      <c r="G50" s="33">
        <v>2264661</v>
      </c>
      <c r="H50" s="34">
        <v>956.7642585551331</v>
      </c>
      <c r="I50" s="33">
        <v>85313</v>
      </c>
      <c r="J50" s="34">
        <v>36.042670046472331</v>
      </c>
      <c r="K50" s="33">
        <v>2008330</v>
      </c>
      <c r="L50" s="34">
        <v>848.47063793831853</v>
      </c>
      <c r="M50" s="33">
        <v>128861</v>
      </c>
      <c r="N50" s="34">
        <v>54.440642163075623</v>
      </c>
      <c r="O50" s="33">
        <v>2369543</v>
      </c>
      <c r="P50" s="34">
        <v>1001.0743557245459</v>
      </c>
      <c r="Q50" s="33">
        <v>84283</v>
      </c>
      <c r="R50" s="34">
        <v>35.607520067596113</v>
      </c>
      <c r="S50" s="33">
        <v>7272210</v>
      </c>
      <c r="T50" s="34">
        <v>3072.3320659062106</v>
      </c>
      <c r="U50" s="33">
        <v>368963</v>
      </c>
      <c r="V50" s="34">
        <v>155.87790452049006</v>
      </c>
      <c r="W50" s="33">
        <v>7272210</v>
      </c>
      <c r="X50" s="34">
        <v>3072.3320659062106</v>
      </c>
      <c r="Y50" s="33">
        <v>368963</v>
      </c>
      <c r="Z50" s="34">
        <v>155.87790452049006</v>
      </c>
      <c r="AA50" s="33">
        <v>4334937</v>
      </c>
      <c r="AB50" s="34">
        <v>1831.405576679341</v>
      </c>
      <c r="AC50" s="33">
        <v>157906</v>
      </c>
      <c r="AD50" s="34">
        <v>66.711449091677224</v>
      </c>
    </row>
    <row r="51" spans="1:30" x14ac:dyDescent="0.2">
      <c r="A51" s="35" t="s">
        <v>118</v>
      </c>
      <c r="B51" s="35" t="s">
        <v>127</v>
      </c>
      <c r="C51" s="35">
        <v>3707132</v>
      </c>
      <c r="D51" s="36">
        <v>1584.2444444444445</v>
      </c>
      <c r="E51" s="35">
        <v>233052</v>
      </c>
      <c r="F51" s="36">
        <v>99.594871794871793</v>
      </c>
      <c r="G51" s="35">
        <v>8891701</v>
      </c>
      <c r="H51" s="36">
        <v>3799.8722222222223</v>
      </c>
      <c r="I51" s="35">
        <v>215964</v>
      </c>
      <c r="J51" s="36">
        <v>92.292307692307688</v>
      </c>
      <c r="K51" s="35">
        <v>4052348</v>
      </c>
      <c r="L51" s="36">
        <v>1731.7726495726495</v>
      </c>
      <c r="M51" s="35">
        <v>201693</v>
      </c>
      <c r="N51" s="36">
        <v>86.19358974358974</v>
      </c>
      <c r="O51" s="35">
        <v>2606065</v>
      </c>
      <c r="P51" s="36">
        <v>1113.7029914529915</v>
      </c>
      <c r="Q51" s="35">
        <v>125467</v>
      </c>
      <c r="R51" s="36">
        <v>53.618376068376065</v>
      </c>
      <c r="S51" s="35">
        <v>10476295</v>
      </c>
      <c r="T51" s="36">
        <v>4477.0491452991455</v>
      </c>
      <c r="U51" s="35">
        <v>538921</v>
      </c>
      <c r="V51" s="36">
        <v>230.30811965811967</v>
      </c>
      <c r="W51" s="35">
        <v>10476295</v>
      </c>
      <c r="X51" s="36">
        <v>4477.0491452991455</v>
      </c>
      <c r="Y51" s="35">
        <v>538921</v>
      </c>
      <c r="Z51" s="36">
        <v>230.30811965811967</v>
      </c>
      <c r="AA51" s="35">
        <v>8227348</v>
      </c>
      <c r="AB51" s="36">
        <v>3515.9606837606839</v>
      </c>
      <c r="AC51" s="35">
        <v>318615</v>
      </c>
      <c r="AD51" s="36">
        <v>136.16025641025641</v>
      </c>
    </row>
    <row r="52" spans="1:30" x14ac:dyDescent="0.2">
      <c r="A52" s="35" t="s">
        <v>119</v>
      </c>
      <c r="B52" s="35" t="s">
        <v>128</v>
      </c>
      <c r="C52" s="35">
        <v>7466482</v>
      </c>
      <c r="D52" s="36">
        <v>3281.9701098901101</v>
      </c>
      <c r="E52" s="35">
        <v>409013</v>
      </c>
      <c r="F52" s="36">
        <v>179.78593406593407</v>
      </c>
      <c r="G52" s="35">
        <v>5712926</v>
      </c>
      <c r="H52" s="36">
        <v>2511.1762637362635</v>
      </c>
      <c r="I52" s="35">
        <v>268238</v>
      </c>
      <c r="J52" s="36">
        <v>117.90681318681318</v>
      </c>
      <c r="K52" s="35">
        <v>3903585</v>
      </c>
      <c r="L52" s="36">
        <v>1715.8615384615384</v>
      </c>
      <c r="M52" s="35">
        <v>205683</v>
      </c>
      <c r="N52" s="36">
        <v>90.410109890109894</v>
      </c>
      <c r="O52" s="35">
        <v>3148691</v>
      </c>
      <c r="P52" s="36">
        <v>1384.04</v>
      </c>
      <c r="Q52" s="35">
        <v>147294</v>
      </c>
      <c r="R52" s="36">
        <v>64.744615384615386</v>
      </c>
      <c r="S52" s="35">
        <v>16877960</v>
      </c>
      <c r="T52" s="36">
        <v>7418.8835164835164</v>
      </c>
      <c r="U52" s="35">
        <v>882977</v>
      </c>
      <c r="V52" s="36">
        <v>388.12175824175824</v>
      </c>
      <c r="W52" s="35">
        <v>16877960</v>
      </c>
      <c r="X52" s="36">
        <v>7418.8835164835164</v>
      </c>
      <c r="Y52" s="35">
        <v>882977</v>
      </c>
      <c r="Z52" s="36">
        <v>388.12175824175824</v>
      </c>
      <c r="AA52" s="35">
        <v>11427348</v>
      </c>
      <c r="AB52" s="36">
        <v>5023.0101098901096</v>
      </c>
      <c r="AC52" s="35">
        <v>432031</v>
      </c>
      <c r="AD52" s="36">
        <v>189.90373626373628</v>
      </c>
    </row>
    <row r="53" spans="1:30" x14ac:dyDescent="0.2">
      <c r="A53" s="35" t="s">
        <v>0</v>
      </c>
      <c r="B53" s="35" t="s">
        <v>129</v>
      </c>
      <c r="C53" s="35">
        <v>13930438</v>
      </c>
      <c r="D53" s="36">
        <v>7517.7754991905022</v>
      </c>
      <c r="E53" s="40">
        <v>743051</v>
      </c>
      <c r="F53" s="36">
        <v>400.99892066918511</v>
      </c>
      <c r="G53" s="35">
        <v>12508374</v>
      </c>
      <c r="H53" s="36">
        <v>6750.3367512142468</v>
      </c>
      <c r="I53" s="40">
        <v>585553</v>
      </c>
      <c r="J53" s="36">
        <v>316.00269832703725</v>
      </c>
      <c r="K53" s="35">
        <v>3588029</v>
      </c>
      <c r="L53" s="36">
        <v>1936.3351322180249</v>
      </c>
      <c r="M53" s="35">
        <v>237244</v>
      </c>
      <c r="N53" s="36">
        <v>128.03237992444684</v>
      </c>
      <c r="O53" s="35">
        <v>6835788</v>
      </c>
      <c r="P53" s="36">
        <v>3689.0383162439289</v>
      </c>
      <c r="Q53" s="35">
        <v>361167</v>
      </c>
      <c r="R53" s="36">
        <v>194.90933621154883</v>
      </c>
      <c r="S53" s="35">
        <v>32485182</v>
      </c>
      <c r="T53" s="36">
        <v>17531.128980032379</v>
      </c>
      <c r="U53" s="35">
        <v>1676245</v>
      </c>
      <c r="V53" s="36">
        <v>904.61144090663788</v>
      </c>
      <c r="W53" s="35">
        <v>32485182</v>
      </c>
      <c r="X53" s="36">
        <v>17531.128980032379</v>
      </c>
      <c r="Y53" s="35">
        <v>1676245</v>
      </c>
      <c r="Z53" s="36">
        <v>904.61144090663788</v>
      </c>
      <c r="AA53" s="35">
        <v>14594407</v>
      </c>
      <c r="AB53" s="36">
        <v>7876.0966001079332</v>
      </c>
      <c r="AC53" s="40">
        <v>710201</v>
      </c>
      <c r="AD53" s="36">
        <v>383.27091203453858</v>
      </c>
    </row>
    <row r="54" spans="1:30" x14ac:dyDescent="0.2">
      <c r="A54" s="35" t="s">
        <v>1</v>
      </c>
      <c r="B54" s="35" t="s">
        <v>130</v>
      </c>
      <c r="C54" s="35">
        <v>10276330</v>
      </c>
      <c r="D54" s="36">
        <v>5658.7720264317177</v>
      </c>
      <c r="E54" s="40">
        <v>628423</v>
      </c>
      <c r="F54" s="36">
        <v>346.04790748898677</v>
      </c>
      <c r="G54" s="35">
        <v>7173316</v>
      </c>
      <c r="H54" s="36">
        <v>3950.0638766519824</v>
      </c>
      <c r="I54" s="40">
        <v>376877</v>
      </c>
      <c r="J54" s="36">
        <v>207.53138766519822</v>
      </c>
      <c r="K54" s="35">
        <v>1319372</v>
      </c>
      <c r="L54" s="36">
        <v>726.52643171806164</v>
      </c>
      <c r="M54" s="35">
        <v>99889</v>
      </c>
      <c r="N54" s="36">
        <v>55.004955947136565</v>
      </c>
      <c r="O54" s="35">
        <v>3209770</v>
      </c>
      <c r="P54" s="36">
        <v>1767.4944933920706</v>
      </c>
      <c r="Q54" s="35">
        <v>194487</v>
      </c>
      <c r="R54" s="36">
        <v>107.09636563876651</v>
      </c>
      <c r="S54" s="35">
        <v>13216493</v>
      </c>
      <c r="T54" s="36">
        <v>7277.804515418502</v>
      </c>
      <c r="U54" s="35">
        <v>740051</v>
      </c>
      <c r="V54" s="36">
        <v>407.5170704845815</v>
      </c>
      <c r="W54" s="35">
        <v>13216493</v>
      </c>
      <c r="X54" s="36">
        <v>7277.804515418502</v>
      </c>
      <c r="Y54" s="35">
        <v>740051</v>
      </c>
      <c r="Z54" s="36">
        <v>407.5170704845815</v>
      </c>
      <c r="AA54" s="35">
        <v>8361788</v>
      </c>
      <c r="AB54" s="36">
        <v>4604.5088105726873</v>
      </c>
      <c r="AC54" s="35">
        <v>372148</v>
      </c>
      <c r="AD54" s="36">
        <v>204.92731277533039</v>
      </c>
    </row>
    <row r="55" spans="1:30" x14ac:dyDescent="0.2">
      <c r="A55" s="35" t="s">
        <v>2</v>
      </c>
      <c r="B55" s="35" t="s">
        <v>131</v>
      </c>
      <c r="C55" s="35">
        <v>14171158</v>
      </c>
      <c r="D55" s="36">
        <v>9262.1947712418296</v>
      </c>
      <c r="E55" s="35">
        <v>728000</v>
      </c>
      <c r="F55" s="36">
        <v>475.8169934640523</v>
      </c>
      <c r="G55" s="35">
        <v>8767827</v>
      </c>
      <c r="H55" s="36">
        <v>5730.6058823529411</v>
      </c>
      <c r="I55" s="40">
        <v>391446</v>
      </c>
      <c r="J55" s="36">
        <v>255.84705882352941</v>
      </c>
      <c r="K55" s="35">
        <v>1862971</v>
      </c>
      <c r="L55" s="36">
        <v>1217.6281045751634</v>
      </c>
      <c r="M55" s="35">
        <v>108012</v>
      </c>
      <c r="N55" s="36">
        <v>70.596078431372547</v>
      </c>
      <c r="O55" s="35">
        <v>4940552</v>
      </c>
      <c r="P55" s="36">
        <v>3229.1189542483662</v>
      </c>
      <c r="Q55" s="35">
        <v>287348</v>
      </c>
      <c r="R55" s="36">
        <v>187.80915032679738</v>
      </c>
      <c r="S55" s="35">
        <v>16493003</v>
      </c>
      <c r="T55" s="36">
        <v>10779.740522875816</v>
      </c>
      <c r="U55" s="35">
        <v>732437</v>
      </c>
      <c r="V55" s="36">
        <v>478.71699346405228</v>
      </c>
      <c r="W55" s="35">
        <v>16493003</v>
      </c>
      <c r="X55" s="36">
        <v>10779.740522875816</v>
      </c>
      <c r="Y55" s="35">
        <v>732437</v>
      </c>
      <c r="Z55" s="36">
        <v>478.71699346405228</v>
      </c>
      <c r="AA55" s="35">
        <v>14824504</v>
      </c>
      <c r="AB55" s="36">
        <v>9689.2183006535943</v>
      </c>
      <c r="AC55" s="35">
        <v>771340</v>
      </c>
      <c r="AD55" s="36">
        <v>504.14379084967322</v>
      </c>
    </row>
    <row r="56" spans="1:30" x14ac:dyDescent="0.2">
      <c r="A56" s="35" t="s">
        <v>3</v>
      </c>
      <c r="B56" s="35" t="s">
        <v>132</v>
      </c>
      <c r="C56" s="35">
        <v>20233593</v>
      </c>
      <c r="D56" s="36">
        <v>17518.262337662338</v>
      </c>
      <c r="E56" s="40">
        <v>1092442</v>
      </c>
      <c r="F56" s="36">
        <v>945.83722943722944</v>
      </c>
      <c r="G56" s="35">
        <v>18942197</v>
      </c>
      <c r="H56" s="36">
        <v>16400.170562770563</v>
      </c>
      <c r="I56" s="40">
        <v>1043662</v>
      </c>
      <c r="J56" s="36">
        <v>903.60346320346321</v>
      </c>
      <c r="K56" s="35">
        <v>9920171</v>
      </c>
      <c r="L56" s="36">
        <v>8588.8926406926403</v>
      </c>
      <c r="M56" s="35">
        <v>501350</v>
      </c>
      <c r="N56" s="36">
        <v>434.06926406926408</v>
      </c>
      <c r="O56" s="35">
        <v>12414124</v>
      </c>
      <c r="P56" s="36">
        <v>10748.159307359307</v>
      </c>
      <c r="Q56" s="35">
        <v>787201</v>
      </c>
      <c r="R56" s="36">
        <v>681.55930735930735</v>
      </c>
      <c r="S56" s="35">
        <v>39815732</v>
      </c>
      <c r="T56" s="36">
        <v>34472.495238095238</v>
      </c>
      <c r="U56" s="35">
        <v>2423592</v>
      </c>
      <c r="V56" s="36">
        <v>2098.3480519480518</v>
      </c>
      <c r="W56" s="35">
        <v>39815732</v>
      </c>
      <c r="X56" s="36">
        <v>34472.495238095238</v>
      </c>
      <c r="Y56" s="35">
        <v>2423592</v>
      </c>
      <c r="Z56" s="36">
        <v>2098.3480519480518</v>
      </c>
      <c r="AA56" s="35">
        <v>42668390</v>
      </c>
      <c r="AB56" s="36">
        <v>36942.329004329004</v>
      </c>
      <c r="AC56" s="35">
        <v>3627519</v>
      </c>
      <c r="AD56" s="36">
        <v>3140.7090909090907</v>
      </c>
    </row>
    <row r="57" spans="1:30" x14ac:dyDescent="0.2">
      <c r="A57" s="37" t="s">
        <v>4</v>
      </c>
      <c r="B57" s="37" t="s">
        <v>133</v>
      </c>
      <c r="C57" s="37">
        <v>6008614</v>
      </c>
      <c r="D57" s="38">
        <v>5657.8286252354046</v>
      </c>
      <c r="E57" s="41">
        <v>396273</v>
      </c>
      <c r="F57" s="38">
        <v>373.13841807909603</v>
      </c>
      <c r="G57" s="37">
        <v>9325642</v>
      </c>
      <c r="H57" s="38">
        <v>8781.2071563088521</v>
      </c>
      <c r="I57" s="41">
        <v>474263</v>
      </c>
      <c r="J57" s="38">
        <v>446.57532956685498</v>
      </c>
      <c r="K57" s="37">
        <v>4172027</v>
      </c>
      <c r="L57" s="38">
        <v>3928.4623352165727</v>
      </c>
      <c r="M57" s="37">
        <v>219032</v>
      </c>
      <c r="N57" s="38">
        <v>206.24482109227873</v>
      </c>
      <c r="O57" s="37">
        <v>5122905</v>
      </c>
      <c r="P57" s="38">
        <v>4823.8276836158193</v>
      </c>
      <c r="Q57" s="37">
        <v>312622</v>
      </c>
      <c r="R57" s="38">
        <v>294.3709981167608</v>
      </c>
      <c r="S57" s="37">
        <v>22419118</v>
      </c>
      <c r="T57" s="38">
        <v>21110.280602636536</v>
      </c>
      <c r="U57" s="37">
        <v>1285125</v>
      </c>
      <c r="V57" s="38">
        <v>1210.0988700564972</v>
      </c>
      <c r="W57" s="37">
        <v>22419118</v>
      </c>
      <c r="X57" s="38">
        <v>21110.280602636536</v>
      </c>
      <c r="Y57" s="37">
        <v>1285125</v>
      </c>
      <c r="Z57" s="38">
        <v>1210.0988700564972</v>
      </c>
      <c r="AA57" s="37">
        <v>11251569</v>
      </c>
      <c r="AB57" s="38">
        <v>10594.697740112995</v>
      </c>
      <c r="AC57" s="41">
        <v>695176</v>
      </c>
      <c r="AD57" s="38">
        <v>654.59133709981165</v>
      </c>
    </row>
    <row r="58" spans="1:30" x14ac:dyDescent="0.2">
      <c r="A58" s="51" t="s">
        <v>6</v>
      </c>
      <c r="B58" s="51"/>
      <c r="C58" s="8">
        <v>80741685</v>
      </c>
      <c r="D58" s="39">
        <v>5607.8403250451447</v>
      </c>
      <c r="E58" s="8">
        <v>4468376</v>
      </c>
      <c r="F58" s="39">
        <v>310.34699263786638</v>
      </c>
      <c r="G58" s="8">
        <v>73586644</v>
      </c>
      <c r="H58" s="39">
        <v>5110.8934574246423</v>
      </c>
      <c r="I58" s="8">
        <v>3441316</v>
      </c>
      <c r="J58" s="39">
        <v>239.01347409362413</v>
      </c>
      <c r="K58" s="8">
        <v>30826833</v>
      </c>
      <c r="L58" s="39">
        <v>2141.0496596749549</v>
      </c>
      <c r="M58" s="8">
        <v>1701764</v>
      </c>
      <c r="N58" s="39">
        <v>118.19447145436867</v>
      </c>
      <c r="O58" s="8">
        <v>40647438</v>
      </c>
      <c r="P58" s="39">
        <v>2823.1308515071537</v>
      </c>
      <c r="Q58" s="8">
        <v>2299869</v>
      </c>
      <c r="R58" s="39">
        <v>159.73531045978609</v>
      </c>
      <c r="S58" s="8">
        <v>159055993</v>
      </c>
      <c r="T58" s="39">
        <v>11047.089387414919</v>
      </c>
      <c r="U58" s="8">
        <v>8648311</v>
      </c>
      <c r="V58" s="39">
        <v>600.66057785803582</v>
      </c>
      <c r="W58" s="8">
        <v>159055993</v>
      </c>
      <c r="X58" s="39">
        <v>11047.089387414919</v>
      </c>
      <c r="Y58" s="8">
        <v>8648311</v>
      </c>
      <c r="Z58" s="39">
        <v>600.66057785803582</v>
      </c>
      <c r="AA58" s="8">
        <v>115690291</v>
      </c>
      <c r="AB58" s="39">
        <v>8035.163981108487</v>
      </c>
      <c r="AC58" s="8">
        <v>7084936</v>
      </c>
      <c r="AD58" s="39">
        <v>492.07778858174748</v>
      </c>
    </row>
    <row r="59" spans="1:30" x14ac:dyDescent="0.2">
      <c r="D59" s="32"/>
    </row>
    <row r="60" spans="1:30" x14ac:dyDescent="0.2">
      <c r="D60" s="32"/>
    </row>
    <row r="61" spans="1:30" x14ac:dyDescent="0.2">
      <c r="D61" s="32"/>
    </row>
    <row r="62" spans="1:30" x14ac:dyDescent="0.2">
      <c r="A62" s="1"/>
      <c r="B62" s="1"/>
      <c r="C62" s="1"/>
      <c r="D62" s="32"/>
      <c r="G62" s="1"/>
      <c r="H62" s="1"/>
      <c r="I62" s="12"/>
      <c r="K62" s="1"/>
      <c r="L62" s="1"/>
      <c r="M62" s="12"/>
      <c r="O62" s="1"/>
      <c r="P62" s="1"/>
      <c r="Q62" s="12"/>
      <c r="S62" s="1"/>
      <c r="T62" s="1"/>
      <c r="U62" s="12"/>
      <c r="W62" s="1"/>
      <c r="X62" s="1"/>
      <c r="Y62" s="12"/>
      <c r="Z62" s="1"/>
      <c r="AA62" s="1"/>
      <c r="AB62" s="1"/>
      <c r="AC62" s="1"/>
      <c r="AD62" s="1"/>
    </row>
    <row r="63" spans="1:30" x14ac:dyDescent="0.2">
      <c r="D63" s="32"/>
    </row>
    <row r="64" spans="1:30" x14ac:dyDescent="0.2">
      <c r="D64" s="32"/>
    </row>
    <row r="65" spans="4:4" x14ac:dyDescent="0.2">
      <c r="D65" s="32"/>
    </row>
    <row r="66" spans="4:4" x14ac:dyDescent="0.2">
      <c r="D66" s="32"/>
    </row>
    <row r="67" spans="4:4" x14ac:dyDescent="0.2">
      <c r="D67" s="32"/>
    </row>
    <row r="68" spans="4:4" x14ac:dyDescent="0.2">
      <c r="D68" s="32"/>
    </row>
  </sheetData>
  <mergeCells count="110">
    <mergeCell ref="K5:N5"/>
    <mergeCell ref="O5:R5"/>
    <mergeCell ref="S5:V5"/>
    <mergeCell ref="AA33:AB33"/>
    <mergeCell ref="AC33:AD33"/>
    <mergeCell ref="O33:P33"/>
    <mergeCell ref="Q33:R33"/>
    <mergeCell ref="S33:T33"/>
    <mergeCell ref="U33:V33"/>
    <mergeCell ref="W33:X33"/>
    <mergeCell ref="Y33:Z33"/>
    <mergeCell ref="W5:Z5"/>
    <mergeCell ref="AA32:AD32"/>
    <mergeCell ref="W18:Z18"/>
    <mergeCell ref="K19:L19"/>
    <mergeCell ref="M19:N19"/>
    <mergeCell ref="O19:P19"/>
    <mergeCell ref="Q19:R19"/>
    <mergeCell ref="S19:T19"/>
    <mergeCell ref="U19:V19"/>
    <mergeCell ref="W19:X19"/>
    <mergeCell ref="Y19:Z19"/>
    <mergeCell ref="C3:F3"/>
    <mergeCell ref="C4:D4"/>
    <mergeCell ref="E4:F4"/>
    <mergeCell ref="G3:J3"/>
    <mergeCell ref="G4:H4"/>
    <mergeCell ref="I4:J4"/>
    <mergeCell ref="C5:F5"/>
    <mergeCell ref="G5:J5"/>
    <mergeCell ref="A43:B43"/>
    <mergeCell ref="C32:F32"/>
    <mergeCell ref="G32:J32"/>
    <mergeCell ref="G33:H33"/>
    <mergeCell ref="I33:J33"/>
    <mergeCell ref="A14:B14"/>
    <mergeCell ref="A15:B15"/>
    <mergeCell ref="C33:D33"/>
    <mergeCell ref="E33:F33"/>
    <mergeCell ref="C34:F34"/>
    <mergeCell ref="G34:J34"/>
    <mergeCell ref="C19:D19"/>
    <mergeCell ref="E19:F19"/>
    <mergeCell ref="G19:H19"/>
    <mergeCell ref="I19:J19"/>
    <mergeCell ref="C18:F18"/>
    <mergeCell ref="K3:N3"/>
    <mergeCell ref="W3:Z3"/>
    <mergeCell ref="W4:X4"/>
    <mergeCell ref="Y4:Z4"/>
    <mergeCell ref="K4:L4"/>
    <mergeCell ref="M4:N4"/>
    <mergeCell ref="O3:R3"/>
    <mergeCell ref="O4:P4"/>
    <mergeCell ref="Q4:R4"/>
    <mergeCell ref="S3:V3"/>
    <mergeCell ref="S4:T4"/>
    <mergeCell ref="U4:V4"/>
    <mergeCell ref="G18:J18"/>
    <mergeCell ref="K18:N18"/>
    <mergeCell ref="O18:R18"/>
    <mergeCell ref="S18:V18"/>
    <mergeCell ref="U48:V48"/>
    <mergeCell ref="W48:X48"/>
    <mergeCell ref="Y48:Z48"/>
    <mergeCell ref="AA48:AB48"/>
    <mergeCell ref="AC48:AD48"/>
    <mergeCell ref="W20:Z20"/>
    <mergeCell ref="A29:B29"/>
    <mergeCell ref="C20:F20"/>
    <mergeCell ref="G20:J20"/>
    <mergeCell ref="K20:N20"/>
    <mergeCell ref="O20:R20"/>
    <mergeCell ref="S20:V20"/>
    <mergeCell ref="A44:B44"/>
    <mergeCell ref="W34:Z34"/>
    <mergeCell ref="AA34:AD34"/>
    <mergeCell ref="O32:R32"/>
    <mergeCell ref="S32:V32"/>
    <mergeCell ref="W32:Z32"/>
    <mergeCell ref="K32:N32"/>
    <mergeCell ref="K33:L33"/>
    <mergeCell ref="M33:N33"/>
    <mergeCell ref="K34:N34"/>
    <mergeCell ref="O34:R34"/>
    <mergeCell ref="S34:V34"/>
    <mergeCell ref="W49:Z49"/>
    <mergeCell ref="AA49:AD49"/>
    <mergeCell ref="A58:B58"/>
    <mergeCell ref="W47:Z47"/>
    <mergeCell ref="S47:V47"/>
    <mergeCell ref="O47:R47"/>
    <mergeCell ref="K47:N47"/>
    <mergeCell ref="G47:J47"/>
    <mergeCell ref="C47:F47"/>
    <mergeCell ref="C49:F49"/>
    <mergeCell ref="G49:J49"/>
    <mergeCell ref="K49:N49"/>
    <mergeCell ref="O49:R49"/>
    <mergeCell ref="S49:V49"/>
    <mergeCell ref="AA47:AD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</mergeCells>
  <phoneticPr fontId="1"/>
  <pageMargins left="0.7" right="0.7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3"/>
  <sheetViews>
    <sheetView workbookViewId="0">
      <selection activeCell="G39" sqref="G39"/>
    </sheetView>
  </sheetViews>
  <sheetFormatPr defaultRowHeight="13.2" x14ac:dyDescent="0.2"/>
  <cols>
    <col min="2" max="2" width="9" style="27"/>
    <col min="3" max="11" width="15.44140625" style="27" customWidth="1"/>
    <col min="12" max="12" width="15" style="27" customWidth="1"/>
  </cols>
  <sheetData>
    <row r="1" spans="1:12" x14ac:dyDescent="0.2">
      <c r="A1" s="42" t="s">
        <v>232</v>
      </c>
    </row>
    <row r="2" spans="1:12" s="18" customFormat="1" x14ac:dyDescent="0.2">
      <c r="A2" s="42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s="18" customFormat="1" x14ac:dyDescent="0.2">
      <c r="A3" s="42" t="s">
        <v>221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s="18" customFormat="1" x14ac:dyDescent="0.2">
      <c r="A4" s="19"/>
      <c r="B4" s="19"/>
      <c r="C4" s="60" t="s">
        <v>222</v>
      </c>
      <c r="D4" s="60"/>
      <c r="E4" s="60"/>
      <c r="F4" s="60"/>
      <c r="G4" s="60"/>
      <c r="H4" s="60"/>
      <c r="I4" s="60"/>
      <c r="J4" s="60"/>
      <c r="K4" s="60"/>
      <c r="L4" s="27"/>
    </row>
    <row r="5" spans="1:12" x14ac:dyDescent="0.2">
      <c r="A5" s="5"/>
      <c r="B5" s="5"/>
      <c r="C5" s="5" t="s">
        <v>134</v>
      </c>
      <c r="D5" s="5" t="s">
        <v>135</v>
      </c>
      <c r="E5" s="5" t="s">
        <v>136</v>
      </c>
      <c r="F5" s="5" t="s">
        <v>137</v>
      </c>
      <c r="G5" s="5" t="s">
        <v>138</v>
      </c>
      <c r="H5" s="5" t="s">
        <v>139</v>
      </c>
      <c r="I5" s="5" t="s">
        <v>140</v>
      </c>
      <c r="J5" s="5" t="s">
        <v>141</v>
      </c>
      <c r="K5" s="5" t="s">
        <v>142</v>
      </c>
      <c r="L5"/>
    </row>
    <row r="6" spans="1:12" x14ac:dyDescent="0.2">
      <c r="A6" s="60" t="s">
        <v>143</v>
      </c>
      <c r="B6" s="5" t="s">
        <v>115</v>
      </c>
      <c r="C6" s="5" t="s">
        <v>144</v>
      </c>
      <c r="D6" s="5" t="s">
        <v>145</v>
      </c>
      <c r="E6" s="5" t="s">
        <v>146</v>
      </c>
      <c r="F6" s="5" t="s">
        <v>147</v>
      </c>
      <c r="G6" s="5" t="s">
        <v>148</v>
      </c>
      <c r="H6" s="5" t="s">
        <v>149</v>
      </c>
      <c r="I6" s="5" t="s">
        <v>150</v>
      </c>
      <c r="J6" s="5" t="s">
        <v>151</v>
      </c>
      <c r="K6" s="5" t="s">
        <v>152</v>
      </c>
      <c r="L6"/>
    </row>
    <row r="7" spans="1:12" s="43" customFormat="1" x14ac:dyDescent="0.2">
      <c r="A7" s="58"/>
      <c r="B7" s="45"/>
      <c r="C7" s="45">
        <v>0.99950000000000006</v>
      </c>
      <c r="D7" s="45">
        <v>0.99909999999999999</v>
      </c>
      <c r="E7" s="45">
        <v>1</v>
      </c>
      <c r="F7" s="45">
        <v>0.99950000000000006</v>
      </c>
      <c r="G7" s="45">
        <v>0.99880000000000002</v>
      </c>
      <c r="H7" s="45">
        <v>0.99870000000000003</v>
      </c>
      <c r="I7" s="45">
        <v>1</v>
      </c>
      <c r="J7" s="45">
        <v>1</v>
      </c>
      <c r="K7" s="45">
        <v>1</v>
      </c>
    </row>
    <row r="8" spans="1:12" ht="15.6" x14ac:dyDescent="0.2">
      <c r="A8" s="58"/>
      <c r="B8" s="49" t="s">
        <v>248</v>
      </c>
      <c r="C8" s="44" t="s">
        <v>153</v>
      </c>
      <c r="D8" s="44" t="s">
        <v>146</v>
      </c>
      <c r="E8" s="44" t="s">
        <v>146</v>
      </c>
      <c r="F8" s="44" t="s">
        <v>154</v>
      </c>
      <c r="G8" s="44" t="s">
        <v>155</v>
      </c>
      <c r="H8" s="44" t="s">
        <v>149</v>
      </c>
      <c r="I8" s="44" t="s">
        <v>150</v>
      </c>
      <c r="J8" s="44" t="s">
        <v>151</v>
      </c>
      <c r="K8" s="44" t="s">
        <v>152</v>
      </c>
      <c r="L8"/>
    </row>
    <row r="9" spans="1:12" s="43" customFormat="1" x14ac:dyDescent="0.2">
      <c r="A9" s="59"/>
      <c r="B9" s="46"/>
      <c r="C9" s="46">
        <v>0.99990000000000001</v>
      </c>
      <c r="D9" s="46">
        <v>1</v>
      </c>
      <c r="E9" s="46">
        <v>1</v>
      </c>
      <c r="F9" s="46">
        <v>1</v>
      </c>
      <c r="G9" s="46">
        <v>1</v>
      </c>
      <c r="H9" s="46">
        <v>0.99870000000000003</v>
      </c>
      <c r="I9" s="46">
        <v>1</v>
      </c>
      <c r="J9" s="46">
        <v>1</v>
      </c>
      <c r="K9" s="46">
        <v>1</v>
      </c>
    </row>
    <row r="10" spans="1:12" x14ac:dyDescent="0.2">
      <c r="A10" s="60" t="s">
        <v>156</v>
      </c>
      <c r="B10" s="5" t="s">
        <v>115</v>
      </c>
      <c r="C10" s="5" t="s">
        <v>220</v>
      </c>
      <c r="D10" s="5" t="s">
        <v>146</v>
      </c>
      <c r="E10" s="5" t="s">
        <v>158</v>
      </c>
      <c r="F10" s="5" t="s">
        <v>154</v>
      </c>
      <c r="G10" s="5" t="s">
        <v>159</v>
      </c>
      <c r="H10" s="5" t="s">
        <v>160</v>
      </c>
      <c r="I10" s="5" t="s">
        <v>150</v>
      </c>
      <c r="J10" s="5" t="s">
        <v>151</v>
      </c>
      <c r="K10" s="5" t="s">
        <v>152</v>
      </c>
      <c r="L10"/>
    </row>
    <row r="11" spans="1:12" s="43" customFormat="1" x14ac:dyDescent="0.2">
      <c r="A11" s="58"/>
      <c r="B11" s="45"/>
      <c r="C11" s="45">
        <v>0.99960000000000004</v>
      </c>
      <c r="D11" s="45">
        <v>1</v>
      </c>
      <c r="E11" s="45">
        <v>0.99960000000000004</v>
      </c>
      <c r="F11" s="45">
        <v>1</v>
      </c>
      <c r="G11" s="45">
        <v>0.99829999999999997</v>
      </c>
      <c r="H11" s="45">
        <v>0.99939999999999996</v>
      </c>
      <c r="I11" s="45">
        <v>1</v>
      </c>
      <c r="J11" s="45">
        <v>1</v>
      </c>
      <c r="K11" s="45">
        <v>1</v>
      </c>
    </row>
    <row r="12" spans="1:12" ht="15.6" x14ac:dyDescent="0.2">
      <c r="A12" s="58"/>
      <c r="B12" s="49" t="s">
        <v>248</v>
      </c>
      <c r="C12" s="44" t="s">
        <v>161</v>
      </c>
      <c r="D12" s="44" t="s">
        <v>146</v>
      </c>
      <c r="E12" s="44" t="s">
        <v>146</v>
      </c>
      <c r="F12" s="44" t="s">
        <v>154</v>
      </c>
      <c r="G12" s="44" t="s">
        <v>155</v>
      </c>
      <c r="H12" s="44" t="s">
        <v>162</v>
      </c>
      <c r="I12" s="44" t="s">
        <v>150</v>
      </c>
      <c r="J12" s="44" t="s">
        <v>151</v>
      </c>
      <c r="K12" s="44" t="s">
        <v>152</v>
      </c>
      <c r="L12"/>
    </row>
    <row r="13" spans="1:12" s="43" customFormat="1" x14ac:dyDescent="0.2">
      <c r="A13" s="59"/>
      <c r="B13" s="46"/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</row>
    <row r="14" spans="1:12" x14ac:dyDescent="0.2">
      <c r="A14" s="60" t="s">
        <v>86</v>
      </c>
      <c r="B14" s="5" t="s">
        <v>115</v>
      </c>
      <c r="C14" s="5" t="s">
        <v>163</v>
      </c>
      <c r="D14" s="5" t="s">
        <v>158</v>
      </c>
      <c r="E14" s="5" t="s">
        <v>158</v>
      </c>
      <c r="F14" s="5" t="s">
        <v>147</v>
      </c>
      <c r="G14" s="5" t="s">
        <v>155</v>
      </c>
      <c r="H14" s="5" t="s">
        <v>162</v>
      </c>
      <c r="I14" s="5" t="s">
        <v>150</v>
      </c>
      <c r="J14" s="5" t="s">
        <v>151</v>
      </c>
      <c r="K14" s="5" t="s">
        <v>152</v>
      </c>
      <c r="L14"/>
    </row>
    <row r="15" spans="1:12" s="43" customFormat="1" x14ac:dyDescent="0.2">
      <c r="A15" s="58"/>
      <c r="B15" s="45"/>
      <c r="C15" s="45">
        <v>0.99980000000000002</v>
      </c>
      <c r="D15" s="45">
        <v>0.99960000000000004</v>
      </c>
      <c r="E15" s="45">
        <v>0.99960000000000004</v>
      </c>
      <c r="F15" s="45">
        <v>0.99950000000000006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</row>
    <row r="16" spans="1:12" ht="15.6" x14ac:dyDescent="0.2">
      <c r="A16" s="58"/>
      <c r="B16" s="49" t="s">
        <v>248</v>
      </c>
      <c r="C16" s="44" t="s">
        <v>161</v>
      </c>
      <c r="D16" s="44" t="s">
        <v>146</v>
      </c>
      <c r="E16" s="44" t="s">
        <v>146</v>
      </c>
      <c r="F16" s="44" t="s">
        <v>154</v>
      </c>
      <c r="G16" s="44" t="s">
        <v>155</v>
      </c>
      <c r="H16" s="44" t="s">
        <v>162</v>
      </c>
      <c r="I16" s="44" t="s">
        <v>150</v>
      </c>
      <c r="J16" s="44" t="s">
        <v>151</v>
      </c>
      <c r="K16" s="44" t="s">
        <v>152</v>
      </c>
      <c r="L16"/>
    </row>
    <row r="17" spans="1:12" s="43" customFormat="1" x14ac:dyDescent="0.2">
      <c r="A17" s="59"/>
      <c r="B17" s="46"/>
      <c r="C17" s="46">
        <v>1</v>
      </c>
      <c r="D17" s="46">
        <v>1</v>
      </c>
      <c r="E17" s="46">
        <v>1</v>
      </c>
      <c r="F17" s="46">
        <v>1</v>
      </c>
      <c r="G17" s="46">
        <v>1</v>
      </c>
      <c r="H17" s="46">
        <v>1</v>
      </c>
      <c r="I17" s="46">
        <v>1</v>
      </c>
      <c r="J17" s="46">
        <v>1</v>
      </c>
      <c r="K17" s="46">
        <v>1</v>
      </c>
    </row>
    <row r="18" spans="1:12" x14ac:dyDescent="0.2">
      <c r="A18" s="60" t="s">
        <v>88</v>
      </c>
      <c r="B18" s="5" t="s">
        <v>115</v>
      </c>
      <c r="C18" s="5" t="s">
        <v>164</v>
      </c>
      <c r="D18" s="5" t="s">
        <v>158</v>
      </c>
      <c r="E18" s="5" t="s">
        <v>165</v>
      </c>
      <c r="F18" s="5" t="s">
        <v>154</v>
      </c>
      <c r="G18" s="5" t="s">
        <v>159</v>
      </c>
      <c r="H18" s="5" t="s">
        <v>160</v>
      </c>
      <c r="I18" s="5" t="s">
        <v>150</v>
      </c>
      <c r="J18" s="5" t="s">
        <v>151</v>
      </c>
      <c r="K18" s="5" t="s">
        <v>152</v>
      </c>
      <c r="L18"/>
    </row>
    <row r="19" spans="1:12" s="43" customFormat="1" x14ac:dyDescent="0.2">
      <c r="A19" s="58"/>
      <c r="B19" s="45"/>
      <c r="C19" s="45">
        <v>0.999</v>
      </c>
      <c r="D19" s="45">
        <v>0.99960000000000004</v>
      </c>
      <c r="E19" s="45">
        <v>0.99609999999999999</v>
      </c>
      <c r="F19" s="45">
        <v>1</v>
      </c>
      <c r="G19" s="45">
        <v>0.99829999999999997</v>
      </c>
      <c r="H19" s="45">
        <v>0.99939999999999996</v>
      </c>
      <c r="I19" s="45">
        <v>1</v>
      </c>
      <c r="J19" s="45">
        <v>1</v>
      </c>
      <c r="K19" s="45">
        <v>1</v>
      </c>
    </row>
    <row r="20" spans="1:12" ht="15.6" x14ac:dyDescent="0.2">
      <c r="A20" s="58"/>
      <c r="B20" s="49" t="s">
        <v>248</v>
      </c>
      <c r="C20" s="44" t="s">
        <v>166</v>
      </c>
      <c r="D20" s="44" t="s">
        <v>146</v>
      </c>
      <c r="E20" s="44" t="s">
        <v>167</v>
      </c>
      <c r="F20" s="44" t="s">
        <v>154</v>
      </c>
      <c r="G20" s="44" t="s">
        <v>155</v>
      </c>
      <c r="H20" s="44" t="s">
        <v>162</v>
      </c>
      <c r="I20" s="44" t="s">
        <v>150</v>
      </c>
      <c r="J20" s="44" t="s">
        <v>151</v>
      </c>
      <c r="K20" s="44" t="s">
        <v>152</v>
      </c>
      <c r="L20"/>
    </row>
    <row r="21" spans="1:12" s="43" customFormat="1" x14ac:dyDescent="0.2">
      <c r="A21" s="59"/>
      <c r="B21" s="46"/>
      <c r="C21" s="46">
        <v>0.99939999999999996</v>
      </c>
      <c r="D21" s="46">
        <v>1</v>
      </c>
      <c r="E21" s="46">
        <v>0.99650000000000005</v>
      </c>
      <c r="F21" s="46">
        <v>1</v>
      </c>
      <c r="G21" s="46">
        <v>1</v>
      </c>
      <c r="H21" s="46">
        <v>1</v>
      </c>
      <c r="I21" s="46">
        <v>1</v>
      </c>
      <c r="J21" s="46">
        <v>1</v>
      </c>
      <c r="K21" s="46">
        <v>1</v>
      </c>
    </row>
    <row r="22" spans="1:12" x14ac:dyDescent="0.2">
      <c r="A22" s="60" t="s">
        <v>89</v>
      </c>
      <c r="B22" s="5" t="s">
        <v>115</v>
      </c>
      <c r="C22" s="5" t="s">
        <v>164</v>
      </c>
      <c r="D22" s="5" t="s">
        <v>168</v>
      </c>
      <c r="E22" s="5" t="s">
        <v>146</v>
      </c>
      <c r="F22" s="5" t="s">
        <v>169</v>
      </c>
      <c r="G22" s="5" t="s">
        <v>155</v>
      </c>
      <c r="H22" s="5" t="s">
        <v>170</v>
      </c>
      <c r="I22" s="5" t="s">
        <v>171</v>
      </c>
      <c r="J22" s="5" t="s">
        <v>151</v>
      </c>
      <c r="K22" s="5" t="s">
        <v>152</v>
      </c>
      <c r="L22"/>
    </row>
    <row r="23" spans="1:12" s="43" customFormat="1" x14ac:dyDescent="0.2">
      <c r="A23" s="58"/>
      <c r="B23" s="45"/>
      <c r="C23" s="45">
        <v>0.999</v>
      </c>
      <c r="D23" s="45">
        <v>0.99870000000000003</v>
      </c>
      <c r="E23" s="45">
        <v>1</v>
      </c>
      <c r="F23" s="45">
        <v>0.99729999999999996</v>
      </c>
      <c r="G23" s="45">
        <v>1</v>
      </c>
      <c r="H23" s="45">
        <v>0.99809999999999999</v>
      </c>
      <c r="I23" s="45">
        <v>0.99860000000000004</v>
      </c>
      <c r="J23" s="45">
        <v>1</v>
      </c>
      <c r="K23" s="45">
        <v>1</v>
      </c>
    </row>
    <row r="24" spans="1:12" ht="15.6" x14ac:dyDescent="0.2">
      <c r="A24" s="58"/>
      <c r="B24" s="49" t="s">
        <v>248</v>
      </c>
      <c r="C24" s="44" t="s">
        <v>157</v>
      </c>
      <c r="D24" s="44" t="s">
        <v>145</v>
      </c>
      <c r="E24" s="44" t="s">
        <v>146</v>
      </c>
      <c r="F24" s="44" t="s">
        <v>172</v>
      </c>
      <c r="G24" s="44" t="s">
        <v>155</v>
      </c>
      <c r="H24" s="44" t="s">
        <v>160</v>
      </c>
      <c r="I24" s="44" t="s">
        <v>173</v>
      </c>
      <c r="J24" s="44" t="s">
        <v>151</v>
      </c>
      <c r="K24" s="44" t="s">
        <v>152</v>
      </c>
      <c r="L24"/>
    </row>
    <row r="25" spans="1:12" s="43" customFormat="1" x14ac:dyDescent="0.2">
      <c r="A25" s="59"/>
      <c r="B25" s="46"/>
      <c r="C25" s="46">
        <v>0.99960000000000004</v>
      </c>
      <c r="D25" s="46">
        <v>0.99909999999999999</v>
      </c>
      <c r="E25" s="46">
        <v>1</v>
      </c>
      <c r="F25" s="46">
        <v>0.99909999999999999</v>
      </c>
      <c r="G25" s="46">
        <v>1</v>
      </c>
      <c r="H25" s="46">
        <v>0.99939999999999996</v>
      </c>
      <c r="I25" s="46">
        <v>0.99929999999999997</v>
      </c>
      <c r="J25" s="46">
        <v>1</v>
      </c>
      <c r="K25" s="46">
        <v>1</v>
      </c>
    </row>
    <row r="26" spans="1:12" x14ac:dyDescent="0.2">
      <c r="A26" s="58" t="s">
        <v>90</v>
      </c>
      <c r="B26" s="44" t="s">
        <v>115</v>
      </c>
      <c r="C26" s="44" t="s">
        <v>174</v>
      </c>
      <c r="D26" s="44" t="s">
        <v>145</v>
      </c>
      <c r="E26" s="44" t="s">
        <v>158</v>
      </c>
      <c r="F26" s="44" t="s">
        <v>154</v>
      </c>
      <c r="G26" s="44" t="s">
        <v>148</v>
      </c>
      <c r="H26" s="44" t="s">
        <v>162</v>
      </c>
      <c r="I26" s="44" t="s">
        <v>175</v>
      </c>
      <c r="J26" s="44" t="s">
        <v>176</v>
      </c>
      <c r="K26" s="44" t="s">
        <v>152</v>
      </c>
      <c r="L26"/>
    </row>
    <row r="27" spans="1:12" s="43" customFormat="1" x14ac:dyDescent="0.2">
      <c r="A27" s="58"/>
      <c r="B27" s="45"/>
      <c r="C27" s="45">
        <v>0.99929999999999997</v>
      </c>
      <c r="D27" s="45">
        <v>0.99909999999999999</v>
      </c>
      <c r="E27" s="45">
        <v>0.99960000000000004</v>
      </c>
      <c r="F27" s="45">
        <v>1</v>
      </c>
      <c r="G27" s="45">
        <v>0.99880000000000002</v>
      </c>
      <c r="H27" s="45">
        <v>1</v>
      </c>
      <c r="I27" s="45">
        <v>0.99790000000000001</v>
      </c>
      <c r="J27" s="45">
        <v>0.999</v>
      </c>
      <c r="K27" s="45">
        <v>1</v>
      </c>
    </row>
    <row r="28" spans="1:12" ht="15.6" x14ac:dyDescent="0.2">
      <c r="A28" s="58"/>
      <c r="B28" s="49" t="s">
        <v>248</v>
      </c>
      <c r="C28" s="44" t="s">
        <v>177</v>
      </c>
      <c r="D28" s="44" t="s">
        <v>158</v>
      </c>
      <c r="E28" s="44" t="s">
        <v>146</v>
      </c>
      <c r="F28" s="44" t="s">
        <v>154</v>
      </c>
      <c r="G28" s="44" t="s">
        <v>178</v>
      </c>
      <c r="H28" s="44" t="s">
        <v>162</v>
      </c>
      <c r="I28" s="44" t="s">
        <v>171</v>
      </c>
      <c r="J28" s="44" t="s">
        <v>151</v>
      </c>
      <c r="K28" s="44" t="s">
        <v>152</v>
      </c>
      <c r="L28"/>
    </row>
    <row r="29" spans="1:12" s="43" customFormat="1" x14ac:dyDescent="0.2">
      <c r="A29" s="59"/>
      <c r="B29" s="46"/>
      <c r="C29" s="46">
        <v>0.99970000000000003</v>
      </c>
      <c r="D29" s="46">
        <v>0.99960000000000004</v>
      </c>
      <c r="E29" s="46">
        <v>1</v>
      </c>
      <c r="F29" s="46">
        <v>1</v>
      </c>
      <c r="G29" s="46">
        <v>0.99939999999999996</v>
      </c>
      <c r="H29" s="46">
        <v>1</v>
      </c>
      <c r="I29" s="46">
        <v>0.99860000000000004</v>
      </c>
      <c r="J29" s="46">
        <v>1</v>
      </c>
      <c r="K29" s="46">
        <v>1</v>
      </c>
    </row>
    <row r="30" spans="1:12" x14ac:dyDescent="0.2">
      <c r="A30" s="27"/>
      <c r="L30"/>
    </row>
    <row r="31" spans="1:12" x14ac:dyDescent="0.2">
      <c r="A31" s="27"/>
      <c r="L31"/>
    </row>
    <row r="32" spans="1:12" x14ac:dyDescent="0.2">
      <c r="A32" s="18" t="s">
        <v>103</v>
      </c>
      <c r="L32"/>
    </row>
    <row r="33" spans="1:12" x14ac:dyDescent="0.2">
      <c r="A33" s="8"/>
      <c r="B33" s="47"/>
      <c r="C33" s="52" t="s">
        <v>222</v>
      </c>
      <c r="D33" s="52"/>
      <c r="E33" s="52"/>
      <c r="F33" s="52"/>
      <c r="G33" s="52"/>
      <c r="H33" s="52"/>
      <c r="I33" s="52"/>
      <c r="J33" s="52"/>
      <c r="K33" s="52"/>
      <c r="L33"/>
    </row>
    <row r="34" spans="1:12" x14ac:dyDescent="0.2">
      <c r="A34" s="5"/>
      <c r="B34" s="5"/>
      <c r="C34" s="5" t="s">
        <v>179</v>
      </c>
      <c r="D34" s="5" t="s">
        <v>180</v>
      </c>
      <c r="E34" s="5" t="s">
        <v>181</v>
      </c>
      <c r="F34" s="5" t="s">
        <v>182</v>
      </c>
      <c r="G34" s="5" t="s">
        <v>183</v>
      </c>
      <c r="H34" s="5" t="s">
        <v>184</v>
      </c>
      <c r="I34" s="5" t="s">
        <v>185</v>
      </c>
      <c r="J34" s="5" t="s">
        <v>186</v>
      </c>
      <c r="K34" s="5" t="s">
        <v>187</v>
      </c>
      <c r="L34"/>
    </row>
    <row r="35" spans="1:12" x14ac:dyDescent="0.2">
      <c r="A35" s="60" t="s">
        <v>188</v>
      </c>
      <c r="B35" s="5" t="s">
        <v>115</v>
      </c>
      <c r="C35" s="5" t="s">
        <v>189</v>
      </c>
      <c r="D35" s="5" t="s">
        <v>190</v>
      </c>
      <c r="E35" s="5" t="s">
        <v>191</v>
      </c>
      <c r="F35" s="5" t="s">
        <v>192</v>
      </c>
      <c r="G35" s="5" t="s">
        <v>193</v>
      </c>
      <c r="H35" s="5" t="s">
        <v>194</v>
      </c>
      <c r="I35" s="5" t="s">
        <v>195</v>
      </c>
      <c r="J35" s="5" t="s">
        <v>196</v>
      </c>
      <c r="K35" s="5" t="s">
        <v>197</v>
      </c>
      <c r="L35"/>
    </row>
    <row r="36" spans="1:12" s="43" customFormat="1" x14ac:dyDescent="0.2">
      <c r="A36" s="58"/>
      <c r="B36" s="45"/>
      <c r="C36" s="45">
        <v>0.99990000000000001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0.99909999999999999</v>
      </c>
      <c r="K36" s="45">
        <v>1</v>
      </c>
    </row>
    <row r="37" spans="1:12" ht="15.6" x14ac:dyDescent="0.2">
      <c r="A37" s="58"/>
      <c r="B37" s="49" t="s">
        <v>248</v>
      </c>
      <c r="C37" s="44" t="s">
        <v>198</v>
      </c>
      <c r="D37" s="44" t="s">
        <v>190</v>
      </c>
      <c r="E37" s="44" t="s">
        <v>191</v>
      </c>
      <c r="F37" s="44" t="s">
        <v>192</v>
      </c>
      <c r="G37" s="44" t="s">
        <v>193</v>
      </c>
      <c r="H37" s="44" t="s">
        <v>194</v>
      </c>
      <c r="I37" s="44" t="s">
        <v>195</v>
      </c>
      <c r="J37" s="44" t="s">
        <v>199</v>
      </c>
      <c r="K37" s="44" t="s">
        <v>197</v>
      </c>
      <c r="L37"/>
    </row>
    <row r="38" spans="1:12" s="43" customFormat="1" x14ac:dyDescent="0.2">
      <c r="A38" s="59"/>
      <c r="B38" s="46"/>
      <c r="C38" s="46">
        <v>1</v>
      </c>
      <c r="D38" s="46">
        <v>1</v>
      </c>
      <c r="E38" s="46">
        <v>1</v>
      </c>
      <c r="F38" s="46">
        <v>1</v>
      </c>
      <c r="G38" s="46">
        <v>1</v>
      </c>
      <c r="H38" s="46">
        <v>1</v>
      </c>
      <c r="I38" s="46">
        <v>1</v>
      </c>
      <c r="J38" s="46">
        <v>1</v>
      </c>
      <c r="K38" s="46">
        <v>1</v>
      </c>
    </row>
    <row r="39" spans="1:12" x14ac:dyDescent="0.2">
      <c r="A39" s="60" t="s">
        <v>200</v>
      </c>
      <c r="B39" s="5" t="s">
        <v>115</v>
      </c>
      <c r="C39" s="5" t="s">
        <v>201</v>
      </c>
      <c r="D39" s="5" t="s">
        <v>202</v>
      </c>
      <c r="E39" s="5" t="s">
        <v>191</v>
      </c>
      <c r="F39" s="5" t="s">
        <v>203</v>
      </c>
      <c r="G39" s="5" t="s">
        <v>204</v>
      </c>
      <c r="H39" s="5" t="s">
        <v>205</v>
      </c>
      <c r="I39" s="5" t="s">
        <v>195</v>
      </c>
      <c r="J39" s="5" t="s">
        <v>196</v>
      </c>
      <c r="K39" s="5" t="s">
        <v>206</v>
      </c>
      <c r="L39"/>
    </row>
    <row r="40" spans="1:12" s="43" customFormat="1" x14ac:dyDescent="0.2">
      <c r="A40" s="58"/>
      <c r="B40" s="45"/>
      <c r="C40" s="45">
        <v>0.99870000000000003</v>
      </c>
      <c r="D40" s="45">
        <v>0.997</v>
      </c>
      <c r="E40" s="45">
        <v>1</v>
      </c>
      <c r="F40" s="45">
        <v>0.99780000000000002</v>
      </c>
      <c r="G40" s="45">
        <v>0.99890000000000001</v>
      </c>
      <c r="H40" s="45">
        <v>0.99890000000000001</v>
      </c>
      <c r="I40" s="45">
        <v>1</v>
      </c>
      <c r="J40" s="45">
        <v>0.99909999999999999</v>
      </c>
      <c r="K40" s="45">
        <v>0.999</v>
      </c>
    </row>
    <row r="41" spans="1:12" ht="15.6" x14ac:dyDescent="0.2">
      <c r="A41" s="58"/>
      <c r="B41" s="49" t="s">
        <v>248</v>
      </c>
      <c r="C41" s="44" t="s">
        <v>207</v>
      </c>
      <c r="D41" s="44" t="s">
        <v>208</v>
      </c>
      <c r="E41" s="44" t="s">
        <v>191</v>
      </c>
      <c r="F41" s="44" t="s">
        <v>209</v>
      </c>
      <c r="G41" s="44" t="s">
        <v>204</v>
      </c>
      <c r="H41" s="44" t="s">
        <v>205</v>
      </c>
      <c r="I41" s="44" t="s">
        <v>195</v>
      </c>
      <c r="J41" s="44" t="s">
        <v>199</v>
      </c>
      <c r="K41" s="44" t="s">
        <v>197</v>
      </c>
      <c r="L41"/>
    </row>
    <row r="42" spans="1:12" s="43" customFormat="1" x14ac:dyDescent="0.2">
      <c r="A42" s="59"/>
      <c r="B42" s="46"/>
      <c r="C42" s="46">
        <v>0.99919999999999998</v>
      </c>
      <c r="D42" s="46">
        <v>0.99790000000000001</v>
      </c>
      <c r="E42" s="46">
        <v>1</v>
      </c>
      <c r="F42" s="46">
        <v>0.99870000000000003</v>
      </c>
      <c r="G42" s="46">
        <v>0.99890000000000001</v>
      </c>
      <c r="H42" s="46">
        <v>0.99890000000000001</v>
      </c>
      <c r="I42" s="46">
        <v>1</v>
      </c>
      <c r="J42" s="46">
        <v>1</v>
      </c>
      <c r="K42" s="46">
        <v>1</v>
      </c>
    </row>
    <row r="43" spans="1:12" x14ac:dyDescent="0.2">
      <c r="A43" s="60" t="s">
        <v>94</v>
      </c>
      <c r="B43" s="5" t="s">
        <v>115</v>
      </c>
      <c r="C43" s="5" t="s">
        <v>210</v>
      </c>
      <c r="D43" s="5" t="s">
        <v>211</v>
      </c>
      <c r="E43" s="5" t="s">
        <v>191</v>
      </c>
      <c r="F43" s="5" t="s">
        <v>212</v>
      </c>
      <c r="G43" s="5" t="s">
        <v>193</v>
      </c>
      <c r="H43" s="5" t="s">
        <v>205</v>
      </c>
      <c r="I43" s="5" t="s">
        <v>195</v>
      </c>
      <c r="J43" s="5" t="s">
        <v>196</v>
      </c>
      <c r="K43" s="5" t="s">
        <v>206</v>
      </c>
      <c r="L43"/>
    </row>
    <row r="44" spans="1:12" s="43" customFormat="1" x14ac:dyDescent="0.2">
      <c r="A44" s="58"/>
      <c r="B44" s="45"/>
      <c r="C44" s="45">
        <v>0.99960000000000004</v>
      </c>
      <c r="D44" s="45">
        <v>0.99960000000000004</v>
      </c>
      <c r="E44" s="45">
        <v>1</v>
      </c>
      <c r="F44" s="45">
        <v>0.99960000000000004</v>
      </c>
      <c r="G44" s="45">
        <v>1</v>
      </c>
      <c r="H44" s="45">
        <v>0.99890000000000001</v>
      </c>
      <c r="I44" s="45">
        <v>1</v>
      </c>
      <c r="J44" s="45">
        <v>0.99909999999999999</v>
      </c>
      <c r="K44" s="45">
        <v>0.999</v>
      </c>
    </row>
    <row r="45" spans="1:12" ht="15.6" x14ac:dyDescent="0.2">
      <c r="A45" s="58"/>
      <c r="B45" s="49" t="s">
        <v>248</v>
      </c>
      <c r="C45" s="44" t="s">
        <v>213</v>
      </c>
      <c r="D45" s="44" t="s">
        <v>190</v>
      </c>
      <c r="E45" s="44" t="s">
        <v>191</v>
      </c>
      <c r="F45" s="44" t="s">
        <v>212</v>
      </c>
      <c r="G45" s="44" t="s">
        <v>193</v>
      </c>
      <c r="H45" s="44" t="s">
        <v>205</v>
      </c>
      <c r="I45" s="44" t="s">
        <v>195</v>
      </c>
      <c r="J45" s="44" t="s">
        <v>199</v>
      </c>
      <c r="K45" s="44" t="s">
        <v>206</v>
      </c>
      <c r="L45"/>
    </row>
    <row r="46" spans="1:12" s="43" customFormat="1" x14ac:dyDescent="0.2">
      <c r="A46" s="59"/>
      <c r="B46" s="46"/>
      <c r="C46" s="46">
        <v>0.99970000000000003</v>
      </c>
      <c r="D46" s="46">
        <v>1</v>
      </c>
      <c r="E46" s="46">
        <v>1</v>
      </c>
      <c r="F46" s="46">
        <v>0.99960000000000004</v>
      </c>
      <c r="G46" s="46">
        <v>1</v>
      </c>
      <c r="H46" s="46">
        <v>0.99890000000000001</v>
      </c>
      <c r="I46" s="46">
        <v>1</v>
      </c>
      <c r="J46" s="46">
        <v>1</v>
      </c>
      <c r="K46" s="46">
        <v>0.999</v>
      </c>
    </row>
    <row r="47" spans="1:12" x14ac:dyDescent="0.2">
      <c r="A47" s="60" t="s">
        <v>96</v>
      </c>
      <c r="B47" s="5" t="s">
        <v>115</v>
      </c>
      <c r="C47" s="5" t="s">
        <v>189</v>
      </c>
      <c r="D47" s="5" t="s">
        <v>190</v>
      </c>
      <c r="E47" s="5" t="s">
        <v>191</v>
      </c>
      <c r="F47" s="5" t="s">
        <v>212</v>
      </c>
      <c r="G47" s="5" t="s">
        <v>193</v>
      </c>
      <c r="H47" s="5" t="s">
        <v>194</v>
      </c>
      <c r="I47" s="5" t="s">
        <v>195</v>
      </c>
      <c r="J47" s="5" t="s">
        <v>199</v>
      </c>
      <c r="K47" s="5" t="s">
        <v>197</v>
      </c>
      <c r="L47"/>
    </row>
    <row r="48" spans="1:12" s="43" customFormat="1" x14ac:dyDescent="0.2">
      <c r="A48" s="58"/>
      <c r="B48" s="45"/>
      <c r="C48" s="45">
        <v>0.99990000000000001</v>
      </c>
      <c r="D48" s="45">
        <v>1</v>
      </c>
      <c r="E48" s="45">
        <v>1</v>
      </c>
      <c r="F48" s="45">
        <v>0.99960000000000004</v>
      </c>
      <c r="G48" s="45">
        <v>1</v>
      </c>
      <c r="H48" s="45">
        <v>1</v>
      </c>
      <c r="I48" s="45">
        <v>1</v>
      </c>
      <c r="J48" s="45">
        <v>1</v>
      </c>
      <c r="K48" s="45">
        <v>1</v>
      </c>
    </row>
    <row r="49" spans="1:12" ht="15.6" x14ac:dyDescent="0.2">
      <c r="A49" s="58"/>
      <c r="B49" s="49" t="s">
        <v>248</v>
      </c>
      <c r="C49" s="44" t="s">
        <v>189</v>
      </c>
      <c r="D49" s="44" t="s">
        <v>190</v>
      </c>
      <c r="E49" s="44" t="s">
        <v>191</v>
      </c>
      <c r="F49" s="44" t="s">
        <v>212</v>
      </c>
      <c r="G49" s="44" t="s">
        <v>193</v>
      </c>
      <c r="H49" s="44" t="s">
        <v>194</v>
      </c>
      <c r="I49" s="44" t="s">
        <v>195</v>
      </c>
      <c r="J49" s="44" t="s">
        <v>199</v>
      </c>
      <c r="K49" s="44" t="s">
        <v>197</v>
      </c>
      <c r="L49"/>
    </row>
    <row r="50" spans="1:12" s="43" customFormat="1" x14ac:dyDescent="0.2">
      <c r="A50" s="59"/>
      <c r="B50" s="46"/>
      <c r="C50" s="46">
        <v>0.99990000000000001</v>
      </c>
      <c r="D50" s="46">
        <v>1</v>
      </c>
      <c r="E50" s="46">
        <v>1</v>
      </c>
      <c r="F50" s="46">
        <v>0.99960000000000004</v>
      </c>
      <c r="G50" s="46">
        <v>1</v>
      </c>
      <c r="H50" s="46">
        <v>1</v>
      </c>
      <c r="I50" s="46">
        <v>1</v>
      </c>
      <c r="J50" s="46">
        <v>1</v>
      </c>
      <c r="K50" s="46">
        <v>1</v>
      </c>
    </row>
    <row r="51" spans="1:12" x14ac:dyDescent="0.2">
      <c r="A51" s="60" t="s">
        <v>97</v>
      </c>
      <c r="B51" s="5" t="s">
        <v>115</v>
      </c>
      <c r="C51" s="5" t="s">
        <v>214</v>
      </c>
      <c r="D51" s="5" t="s">
        <v>211</v>
      </c>
      <c r="E51" s="5" t="s">
        <v>191</v>
      </c>
      <c r="F51" s="5" t="s">
        <v>212</v>
      </c>
      <c r="G51" s="5" t="s">
        <v>193</v>
      </c>
      <c r="H51" s="5" t="s">
        <v>194</v>
      </c>
      <c r="I51" s="5" t="s">
        <v>215</v>
      </c>
      <c r="J51" s="5" t="s">
        <v>196</v>
      </c>
      <c r="K51" s="5" t="s">
        <v>206</v>
      </c>
      <c r="L51"/>
    </row>
    <row r="52" spans="1:12" s="43" customFormat="1" x14ac:dyDescent="0.2">
      <c r="A52" s="58"/>
      <c r="B52" s="45"/>
      <c r="C52" s="45">
        <v>0.99919999999999998</v>
      </c>
      <c r="D52" s="45">
        <v>0.99960000000000004</v>
      </c>
      <c r="E52" s="45">
        <v>1</v>
      </c>
      <c r="F52" s="45">
        <v>0.99960000000000004</v>
      </c>
      <c r="G52" s="45">
        <v>1</v>
      </c>
      <c r="H52" s="45">
        <v>1</v>
      </c>
      <c r="I52" s="45">
        <v>0.99539999999999995</v>
      </c>
      <c r="J52" s="45">
        <v>0.99909999999999999</v>
      </c>
      <c r="K52" s="45">
        <v>0.999</v>
      </c>
    </row>
    <row r="53" spans="1:12" ht="15.6" x14ac:dyDescent="0.2">
      <c r="A53" s="58"/>
      <c r="B53" s="49" t="s">
        <v>248</v>
      </c>
      <c r="C53" s="44" t="s">
        <v>216</v>
      </c>
      <c r="D53" s="44" t="s">
        <v>190</v>
      </c>
      <c r="E53" s="44" t="s">
        <v>191</v>
      </c>
      <c r="F53" s="44" t="s">
        <v>212</v>
      </c>
      <c r="G53" s="44" t="s">
        <v>193</v>
      </c>
      <c r="H53" s="44" t="s">
        <v>194</v>
      </c>
      <c r="I53" s="44" t="s">
        <v>215</v>
      </c>
      <c r="J53" s="44" t="s">
        <v>196</v>
      </c>
      <c r="K53" s="44" t="s">
        <v>206</v>
      </c>
      <c r="L53"/>
    </row>
    <row r="54" spans="1:12" s="43" customFormat="1" x14ac:dyDescent="0.2">
      <c r="A54" s="59"/>
      <c r="B54" s="46"/>
      <c r="C54" s="46">
        <v>0.99929999999999997</v>
      </c>
      <c r="D54" s="46">
        <v>1</v>
      </c>
      <c r="E54" s="46">
        <v>1</v>
      </c>
      <c r="F54" s="46">
        <v>0.99960000000000004</v>
      </c>
      <c r="G54" s="46">
        <v>1</v>
      </c>
      <c r="H54" s="46">
        <v>1</v>
      </c>
      <c r="I54" s="46">
        <v>0.99539999999999995</v>
      </c>
      <c r="J54" s="46">
        <v>0.99909999999999999</v>
      </c>
      <c r="K54" s="46">
        <v>0.999</v>
      </c>
    </row>
    <row r="55" spans="1:12" x14ac:dyDescent="0.2">
      <c r="A55" s="60" t="s">
        <v>98</v>
      </c>
      <c r="B55" s="5" t="s">
        <v>115</v>
      </c>
      <c r="C55" s="5" t="s">
        <v>189</v>
      </c>
      <c r="D55" s="5" t="s">
        <v>211</v>
      </c>
      <c r="E55" s="5" t="s">
        <v>191</v>
      </c>
      <c r="F55" s="5" t="s">
        <v>192</v>
      </c>
      <c r="G55" s="5" t="s">
        <v>193</v>
      </c>
      <c r="H55" s="5" t="s">
        <v>194</v>
      </c>
      <c r="I55" s="5" t="s">
        <v>195</v>
      </c>
      <c r="J55" s="5" t="s">
        <v>199</v>
      </c>
      <c r="K55" s="5" t="s">
        <v>197</v>
      </c>
      <c r="L55"/>
    </row>
    <row r="56" spans="1:12" s="43" customFormat="1" x14ac:dyDescent="0.2">
      <c r="A56" s="58"/>
      <c r="B56" s="45"/>
      <c r="C56" s="45">
        <v>0.99990000000000001</v>
      </c>
      <c r="D56" s="45">
        <v>0.99960000000000004</v>
      </c>
      <c r="E56" s="45">
        <v>1</v>
      </c>
      <c r="F56" s="45">
        <v>1</v>
      </c>
      <c r="G56" s="45">
        <v>1</v>
      </c>
      <c r="H56" s="45">
        <v>1</v>
      </c>
      <c r="I56" s="45">
        <v>1</v>
      </c>
      <c r="J56" s="45">
        <v>1</v>
      </c>
      <c r="K56" s="45">
        <v>1</v>
      </c>
    </row>
    <row r="57" spans="1:12" ht="15.6" x14ac:dyDescent="0.2">
      <c r="A57" s="58"/>
      <c r="B57" s="49" t="s">
        <v>248</v>
      </c>
      <c r="C57" s="44" t="s">
        <v>198</v>
      </c>
      <c r="D57" s="44" t="s">
        <v>190</v>
      </c>
      <c r="E57" s="44" t="s">
        <v>191</v>
      </c>
      <c r="F57" s="44" t="s">
        <v>192</v>
      </c>
      <c r="G57" s="44" t="s">
        <v>193</v>
      </c>
      <c r="H57" s="44" t="s">
        <v>194</v>
      </c>
      <c r="I57" s="44" t="s">
        <v>195</v>
      </c>
      <c r="J57" s="44" t="s">
        <v>199</v>
      </c>
      <c r="K57" s="44" t="s">
        <v>197</v>
      </c>
      <c r="L57"/>
    </row>
    <row r="58" spans="1:12" s="43" customFormat="1" x14ac:dyDescent="0.2">
      <c r="A58" s="59"/>
      <c r="B58" s="46"/>
      <c r="C58" s="46">
        <v>1</v>
      </c>
      <c r="D58" s="46">
        <v>1</v>
      </c>
      <c r="E58" s="46">
        <v>1</v>
      </c>
      <c r="F58" s="46">
        <v>1</v>
      </c>
      <c r="G58" s="46">
        <v>1</v>
      </c>
      <c r="H58" s="46">
        <v>1</v>
      </c>
      <c r="I58" s="46">
        <v>1</v>
      </c>
      <c r="J58" s="46">
        <v>1</v>
      </c>
      <c r="K58" s="46">
        <v>1</v>
      </c>
    </row>
    <row r="59" spans="1:12" x14ac:dyDescent="0.2">
      <c r="A59" s="58" t="s">
        <v>99</v>
      </c>
      <c r="B59" s="44" t="s">
        <v>115</v>
      </c>
      <c r="C59" s="44" t="s">
        <v>217</v>
      </c>
      <c r="D59" s="44" t="s">
        <v>211</v>
      </c>
      <c r="E59" s="44" t="s">
        <v>191</v>
      </c>
      <c r="F59" s="44" t="s">
        <v>212</v>
      </c>
      <c r="G59" s="44" t="s">
        <v>193</v>
      </c>
      <c r="H59" s="44" t="s">
        <v>194</v>
      </c>
      <c r="I59" s="44" t="s">
        <v>195</v>
      </c>
      <c r="J59" s="44" t="s">
        <v>218</v>
      </c>
      <c r="K59" s="44" t="s">
        <v>197</v>
      </c>
      <c r="L59"/>
    </row>
    <row r="60" spans="1:12" s="43" customFormat="1" x14ac:dyDescent="0.2">
      <c r="A60" s="58"/>
      <c r="B60" s="45"/>
      <c r="C60" s="45">
        <v>0.99950000000000006</v>
      </c>
      <c r="D60" s="45">
        <v>0.99960000000000004</v>
      </c>
      <c r="E60" s="45">
        <v>1</v>
      </c>
      <c r="F60" s="45">
        <v>0.99960000000000004</v>
      </c>
      <c r="G60" s="45">
        <v>1</v>
      </c>
      <c r="H60" s="45">
        <v>1</v>
      </c>
      <c r="I60" s="45">
        <v>1</v>
      </c>
      <c r="J60" s="45">
        <v>0.99570000000000003</v>
      </c>
      <c r="K60" s="45">
        <v>1</v>
      </c>
    </row>
    <row r="61" spans="1:12" ht="15.6" x14ac:dyDescent="0.2">
      <c r="A61" s="58"/>
      <c r="B61" s="49" t="s">
        <v>248</v>
      </c>
      <c r="C61" s="44" t="s">
        <v>210</v>
      </c>
      <c r="D61" s="44" t="s">
        <v>190</v>
      </c>
      <c r="E61" s="44" t="s">
        <v>191</v>
      </c>
      <c r="F61" s="44" t="s">
        <v>212</v>
      </c>
      <c r="G61" s="44" t="s">
        <v>193</v>
      </c>
      <c r="H61" s="44" t="s">
        <v>194</v>
      </c>
      <c r="I61" s="44" t="s">
        <v>195</v>
      </c>
      <c r="J61" s="44" t="s">
        <v>218</v>
      </c>
      <c r="K61" s="44" t="s">
        <v>197</v>
      </c>
      <c r="L61"/>
    </row>
    <row r="62" spans="1:12" s="43" customFormat="1" x14ac:dyDescent="0.2">
      <c r="A62" s="59"/>
      <c r="B62" s="46"/>
      <c r="C62" s="46">
        <v>0.99960000000000004</v>
      </c>
      <c r="D62" s="46">
        <v>1</v>
      </c>
      <c r="E62" s="46">
        <v>1</v>
      </c>
      <c r="F62" s="46">
        <v>0.99960000000000004</v>
      </c>
      <c r="G62" s="46">
        <v>1</v>
      </c>
      <c r="H62" s="46">
        <v>1</v>
      </c>
      <c r="I62" s="46">
        <v>1</v>
      </c>
      <c r="J62" s="46">
        <v>0.99570000000000003</v>
      </c>
      <c r="K62" s="46">
        <v>1</v>
      </c>
    </row>
    <row r="63" spans="1:12" x14ac:dyDescent="0.2">
      <c r="A63" s="27"/>
      <c r="C63" s="27" t="s">
        <v>219</v>
      </c>
      <c r="D63" s="27" t="s">
        <v>219</v>
      </c>
      <c r="E63" s="27" t="s">
        <v>219</v>
      </c>
      <c r="F63" s="27" t="s">
        <v>219</v>
      </c>
      <c r="G63" s="27" t="s">
        <v>219</v>
      </c>
      <c r="H63" s="27" t="s">
        <v>219</v>
      </c>
      <c r="I63" s="27" t="s">
        <v>219</v>
      </c>
      <c r="J63" s="27" t="s">
        <v>219</v>
      </c>
      <c r="K63" s="27" t="s">
        <v>219</v>
      </c>
      <c r="L63"/>
    </row>
  </sheetData>
  <mergeCells count="15">
    <mergeCell ref="C4:K4"/>
    <mergeCell ref="C33:K33"/>
    <mergeCell ref="A6:A9"/>
    <mergeCell ref="A10:A13"/>
    <mergeCell ref="A14:A17"/>
    <mergeCell ref="A18:A21"/>
    <mergeCell ref="A22:A25"/>
    <mergeCell ref="A26:A29"/>
    <mergeCell ref="A59:A62"/>
    <mergeCell ref="A35:A38"/>
    <mergeCell ref="A39:A42"/>
    <mergeCell ref="A43:A46"/>
    <mergeCell ref="A47:A50"/>
    <mergeCell ref="A51:A54"/>
    <mergeCell ref="A55:A5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7"/>
  <sheetViews>
    <sheetView workbookViewId="0">
      <selection activeCell="G32" sqref="G32"/>
    </sheetView>
  </sheetViews>
  <sheetFormatPr defaultColWidth="8.88671875" defaultRowHeight="13.2" x14ac:dyDescent="0.2"/>
  <cols>
    <col min="1" max="1" width="25" customWidth="1"/>
    <col min="2" max="3" width="8.44140625" style="16" customWidth="1"/>
    <col min="4" max="4" width="8.44140625" customWidth="1"/>
  </cols>
  <sheetData>
    <row r="1" spans="1:17" x14ac:dyDescent="0.2">
      <c r="A1" s="18" t="s">
        <v>251</v>
      </c>
    </row>
    <row r="2" spans="1:17" s="18" customFormat="1" x14ac:dyDescent="0.2"/>
    <row r="3" spans="1:17" s="18" customFormat="1" x14ac:dyDescent="0.2">
      <c r="A3" s="18" t="s">
        <v>104</v>
      </c>
      <c r="B3" s="52" t="s">
        <v>26</v>
      </c>
      <c r="C3" s="52"/>
      <c r="D3" s="52" t="s">
        <v>84</v>
      </c>
      <c r="E3" s="52"/>
      <c r="F3" s="52" t="s">
        <v>101</v>
      </c>
      <c r="G3" s="52"/>
      <c r="H3" s="52" t="s">
        <v>86</v>
      </c>
      <c r="I3" s="52"/>
      <c r="J3" s="52" t="s">
        <v>88</v>
      </c>
      <c r="K3" s="52"/>
      <c r="L3" s="52" t="s">
        <v>89</v>
      </c>
      <c r="M3" s="52"/>
      <c r="N3" s="52" t="s">
        <v>90</v>
      </c>
      <c r="O3" s="52"/>
    </row>
    <row r="4" spans="1:17" s="18" customFormat="1" ht="15.6" x14ac:dyDescent="0.2">
      <c r="B4" s="11" t="s">
        <v>7</v>
      </c>
      <c r="C4" s="11" t="s">
        <v>249</v>
      </c>
      <c r="D4" s="11" t="s">
        <v>7</v>
      </c>
      <c r="E4" s="47" t="s">
        <v>249</v>
      </c>
      <c r="F4" s="11" t="s">
        <v>7</v>
      </c>
      <c r="G4" s="47" t="s">
        <v>249</v>
      </c>
      <c r="H4" s="11" t="s">
        <v>7</v>
      </c>
      <c r="I4" s="47" t="s">
        <v>249</v>
      </c>
      <c r="J4" s="11" t="s">
        <v>7</v>
      </c>
      <c r="K4" s="47" t="s">
        <v>249</v>
      </c>
      <c r="L4" s="11" t="s">
        <v>7</v>
      </c>
      <c r="M4" s="47" t="s">
        <v>249</v>
      </c>
      <c r="N4" s="11" t="s">
        <v>7</v>
      </c>
      <c r="O4" s="47" t="s">
        <v>249</v>
      </c>
    </row>
    <row r="5" spans="1:17" s="18" customFormat="1" x14ac:dyDescent="0.2">
      <c r="A5" s="20" t="s">
        <v>233</v>
      </c>
      <c r="B5" s="13">
        <v>389</v>
      </c>
      <c r="C5" s="13">
        <v>411</v>
      </c>
      <c r="D5" s="23">
        <v>23</v>
      </c>
      <c r="E5" s="23">
        <v>28</v>
      </c>
      <c r="F5" s="23">
        <v>104</v>
      </c>
      <c r="G5" s="23">
        <v>109</v>
      </c>
      <c r="H5" s="23">
        <v>99</v>
      </c>
      <c r="I5" s="23">
        <v>101</v>
      </c>
      <c r="J5" s="23">
        <v>123</v>
      </c>
      <c r="K5" s="23">
        <v>128</v>
      </c>
      <c r="L5" s="23">
        <v>19</v>
      </c>
      <c r="M5" s="23">
        <v>20</v>
      </c>
      <c r="N5" s="23">
        <v>21</v>
      </c>
      <c r="O5" s="23">
        <v>25</v>
      </c>
    </row>
    <row r="6" spans="1:17" s="18" customFormat="1" x14ac:dyDescent="0.2">
      <c r="A6" s="19" t="s">
        <v>234</v>
      </c>
      <c r="B6" s="14">
        <v>41</v>
      </c>
      <c r="C6" s="14">
        <v>19</v>
      </c>
      <c r="D6" s="22">
        <v>7</v>
      </c>
      <c r="E6" s="22">
        <v>2</v>
      </c>
      <c r="F6" s="22">
        <v>5</v>
      </c>
      <c r="G6" s="22">
        <v>0</v>
      </c>
      <c r="H6" s="22">
        <v>2</v>
      </c>
      <c r="I6" s="22">
        <v>0</v>
      </c>
      <c r="J6" s="22">
        <v>13</v>
      </c>
      <c r="K6" s="22">
        <v>8</v>
      </c>
      <c r="L6" s="22">
        <v>7</v>
      </c>
      <c r="M6" s="22">
        <v>6</v>
      </c>
      <c r="N6" s="22">
        <v>7</v>
      </c>
      <c r="O6" s="22">
        <v>3</v>
      </c>
    </row>
    <row r="7" spans="1:17" s="18" customFormat="1" x14ac:dyDescent="0.2">
      <c r="A7" s="19" t="s">
        <v>235</v>
      </c>
      <c r="B7" s="14">
        <v>80128</v>
      </c>
      <c r="C7" s="14">
        <v>80138</v>
      </c>
      <c r="D7" s="22">
        <v>13398</v>
      </c>
      <c r="E7" s="22">
        <v>13398</v>
      </c>
      <c r="F7" s="22">
        <v>13319</v>
      </c>
      <c r="G7" s="22">
        <v>13319</v>
      </c>
      <c r="H7" s="22">
        <v>13327</v>
      </c>
      <c r="I7" s="22">
        <v>13327</v>
      </c>
      <c r="J7" s="22">
        <v>13291</v>
      </c>
      <c r="K7" s="22">
        <v>13292</v>
      </c>
      <c r="L7" s="22">
        <v>13395</v>
      </c>
      <c r="M7" s="22">
        <v>13402</v>
      </c>
      <c r="N7" s="22">
        <v>13398</v>
      </c>
      <c r="O7" s="22">
        <v>13400</v>
      </c>
    </row>
    <row r="8" spans="1:17" s="18" customFormat="1" x14ac:dyDescent="0.2">
      <c r="A8" s="21" t="s">
        <v>236</v>
      </c>
      <c r="B8" s="17">
        <v>11</v>
      </c>
      <c r="C8" s="17">
        <v>1</v>
      </c>
      <c r="D8" s="24">
        <v>0</v>
      </c>
      <c r="E8" s="24">
        <v>0</v>
      </c>
      <c r="F8" s="24">
        <v>0</v>
      </c>
      <c r="G8" s="24">
        <v>0</v>
      </c>
      <c r="H8" s="24">
        <v>1</v>
      </c>
      <c r="I8" s="24">
        <v>0</v>
      </c>
      <c r="J8" s="24">
        <v>1</v>
      </c>
      <c r="K8" s="24">
        <v>0</v>
      </c>
      <c r="L8" s="24">
        <v>7</v>
      </c>
      <c r="M8" s="24">
        <v>0</v>
      </c>
      <c r="N8" s="24">
        <v>2</v>
      </c>
      <c r="O8" s="24">
        <v>1</v>
      </c>
    </row>
    <row r="9" spans="1:17" s="18" customFormat="1" x14ac:dyDescent="0.2"/>
    <row r="10" spans="1:17" s="18" customFormat="1" x14ac:dyDescent="0.2"/>
    <row r="11" spans="1:17" s="18" customFormat="1" x14ac:dyDescent="0.2">
      <c r="A11" s="18" t="s">
        <v>103</v>
      </c>
      <c r="B11" s="52" t="s">
        <v>26</v>
      </c>
      <c r="C11" s="52"/>
      <c r="D11" s="52" t="s">
        <v>105</v>
      </c>
      <c r="E11" s="52"/>
      <c r="F11" s="52" t="s">
        <v>93</v>
      </c>
      <c r="G11" s="52"/>
      <c r="H11" s="52" t="s">
        <v>94</v>
      </c>
      <c r="I11" s="52"/>
      <c r="J11" s="52" t="s">
        <v>96</v>
      </c>
      <c r="K11" s="52"/>
      <c r="L11" s="52" t="s">
        <v>97</v>
      </c>
      <c r="M11" s="52"/>
      <c r="N11" s="52" t="s">
        <v>98</v>
      </c>
      <c r="O11" s="52"/>
      <c r="P11" s="52" t="s">
        <v>99</v>
      </c>
      <c r="Q11" s="52"/>
    </row>
    <row r="12" spans="1:17" s="18" customFormat="1" ht="15.6" x14ac:dyDescent="0.2">
      <c r="B12" s="5" t="s">
        <v>7</v>
      </c>
      <c r="C12" s="47" t="s">
        <v>249</v>
      </c>
      <c r="D12" s="5" t="s">
        <v>7</v>
      </c>
      <c r="E12" s="47" t="s">
        <v>249</v>
      </c>
      <c r="F12" s="5" t="s">
        <v>7</v>
      </c>
      <c r="G12" s="47" t="s">
        <v>249</v>
      </c>
      <c r="H12" s="5" t="s">
        <v>7</v>
      </c>
      <c r="I12" s="47" t="s">
        <v>249</v>
      </c>
      <c r="J12" s="5" t="s">
        <v>7</v>
      </c>
      <c r="K12" s="47" t="s">
        <v>249</v>
      </c>
      <c r="L12" s="5" t="s">
        <v>7</v>
      </c>
      <c r="M12" s="47" t="s">
        <v>249</v>
      </c>
      <c r="N12" s="5" t="s">
        <v>7</v>
      </c>
      <c r="O12" s="47" t="s">
        <v>249</v>
      </c>
      <c r="P12" s="48" t="s">
        <v>7</v>
      </c>
      <c r="Q12" s="47" t="s">
        <v>249</v>
      </c>
    </row>
    <row r="13" spans="1:17" s="19" customFormat="1" x14ac:dyDescent="0.2">
      <c r="A13" s="20" t="s">
        <v>233</v>
      </c>
      <c r="B13" s="13">
        <v>303</v>
      </c>
      <c r="C13" s="13">
        <v>311</v>
      </c>
      <c r="D13" s="23">
        <v>33</v>
      </c>
      <c r="E13" s="23">
        <v>33</v>
      </c>
      <c r="F13" s="23">
        <v>31</v>
      </c>
      <c r="G13" s="23">
        <v>35</v>
      </c>
      <c r="H13" s="23">
        <v>40</v>
      </c>
      <c r="I13" s="23">
        <v>42</v>
      </c>
      <c r="J13" s="23">
        <v>28</v>
      </c>
      <c r="K13" s="23">
        <v>28</v>
      </c>
      <c r="L13" s="23">
        <v>34</v>
      </c>
      <c r="M13" s="23">
        <v>34</v>
      </c>
      <c r="N13" s="23">
        <v>59</v>
      </c>
      <c r="O13" s="23">
        <v>60</v>
      </c>
      <c r="P13" s="23">
        <v>78</v>
      </c>
      <c r="Q13" s="23">
        <v>79</v>
      </c>
    </row>
    <row r="14" spans="1:17" s="19" customFormat="1" x14ac:dyDescent="0.2">
      <c r="A14" s="19" t="s">
        <v>234</v>
      </c>
      <c r="B14" s="14">
        <v>41</v>
      </c>
      <c r="C14" s="14">
        <v>33</v>
      </c>
      <c r="D14" s="22">
        <v>0</v>
      </c>
      <c r="E14" s="22">
        <v>0</v>
      </c>
      <c r="F14" s="22">
        <v>16</v>
      </c>
      <c r="G14" s="22">
        <v>12</v>
      </c>
      <c r="H14" s="22">
        <v>6</v>
      </c>
      <c r="I14" s="22">
        <v>4</v>
      </c>
      <c r="J14" s="22">
        <v>1</v>
      </c>
      <c r="K14" s="22">
        <v>1</v>
      </c>
      <c r="L14" s="22">
        <v>10</v>
      </c>
      <c r="M14" s="22">
        <v>10</v>
      </c>
      <c r="N14" s="22">
        <v>1</v>
      </c>
      <c r="O14" s="22">
        <v>0</v>
      </c>
      <c r="P14" s="22">
        <v>7</v>
      </c>
      <c r="Q14" s="22">
        <v>6</v>
      </c>
    </row>
    <row r="15" spans="1:17" s="19" customFormat="1" x14ac:dyDescent="0.2">
      <c r="A15" s="19" t="s">
        <v>235</v>
      </c>
      <c r="B15" s="14">
        <v>100186</v>
      </c>
      <c r="C15" s="14">
        <v>100190</v>
      </c>
      <c r="D15" s="22">
        <v>14328</v>
      </c>
      <c r="E15" s="22">
        <v>14329</v>
      </c>
      <c r="F15" s="22">
        <v>14313</v>
      </c>
      <c r="G15" s="22">
        <v>14315</v>
      </c>
      <c r="H15" s="22">
        <v>14316</v>
      </c>
      <c r="I15" s="22">
        <v>14316</v>
      </c>
      <c r="J15" s="22">
        <v>14333</v>
      </c>
      <c r="K15" s="22">
        <v>14333</v>
      </c>
      <c r="L15" s="22">
        <v>14317</v>
      </c>
      <c r="M15" s="22">
        <v>14318</v>
      </c>
      <c r="N15" s="22">
        <v>14302</v>
      </c>
      <c r="O15" s="22">
        <v>14302</v>
      </c>
      <c r="P15" s="22">
        <v>14277</v>
      </c>
      <c r="Q15" s="22">
        <v>14277</v>
      </c>
    </row>
    <row r="16" spans="1:17" s="19" customFormat="1" x14ac:dyDescent="0.2">
      <c r="A16" s="21" t="s">
        <v>236</v>
      </c>
      <c r="B16" s="17">
        <v>4</v>
      </c>
      <c r="C16" s="17">
        <v>0</v>
      </c>
      <c r="D16" s="24">
        <v>1</v>
      </c>
      <c r="E16" s="24">
        <v>0</v>
      </c>
      <c r="F16" s="24">
        <v>2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1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</row>
    <row r="19" spans="1:3" x14ac:dyDescent="0.2">
      <c r="A19" s="18" t="s">
        <v>26</v>
      </c>
    </row>
    <row r="20" spans="1:3" ht="15.6" x14ac:dyDescent="0.2">
      <c r="B20" s="5" t="s">
        <v>7</v>
      </c>
      <c r="C20" s="47" t="s">
        <v>249</v>
      </c>
    </row>
    <row r="21" spans="1:3" x14ac:dyDescent="0.2">
      <c r="A21" s="20" t="s">
        <v>233</v>
      </c>
      <c r="B21" s="13">
        <f t="shared" ref="B21:C24" si="0">SUM(B5,B13)</f>
        <v>692</v>
      </c>
      <c r="C21" s="13">
        <f t="shared" si="0"/>
        <v>722</v>
      </c>
    </row>
    <row r="22" spans="1:3" x14ac:dyDescent="0.2">
      <c r="A22" s="19" t="s">
        <v>234</v>
      </c>
      <c r="B22" s="14">
        <f t="shared" si="0"/>
        <v>82</v>
      </c>
      <c r="C22" s="14">
        <f t="shared" si="0"/>
        <v>52</v>
      </c>
    </row>
    <row r="23" spans="1:3" x14ac:dyDescent="0.2">
      <c r="A23" s="19" t="s">
        <v>235</v>
      </c>
      <c r="B23" s="14">
        <f t="shared" si="0"/>
        <v>180314</v>
      </c>
      <c r="C23" s="14">
        <f t="shared" si="0"/>
        <v>180328</v>
      </c>
    </row>
    <row r="24" spans="1:3" x14ac:dyDescent="0.2">
      <c r="A24" s="21" t="s">
        <v>236</v>
      </c>
      <c r="B24" s="17">
        <f t="shared" si="0"/>
        <v>15</v>
      </c>
      <c r="C24" s="17">
        <f t="shared" si="0"/>
        <v>1</v>
      </c>
    </row>
    <row r="26" spans="1:3" s="18" customFormat="1" x14ac:dyDescent="0.2"/>
    <row r="27" spans="1:3" ht="15.6" x14ac:dyDescent="0.2">
      <c r="B27" s="47" t="s">
        <v>34</v>
      </c>
      <c r="C27" s="47" t="s">
        <v>249</v>
      </c>
    </row>
    <row r="28" spans="1:3" x14ac:dyDescent="0.2">
      <c r="A28" s="8" t="s">
        <v>29</v>
      </c>
      <c r="B28" s="47" t="s">
        <v>30</v>
      </c>
      <c r="C28" s="47" t="s">
        <v>30</v>
      </c>
    </row>
    <row r="29" spans="1:3" x14ac:dyDescent="0.2">
      <c r="A29" s="19" t="s">
        <v>33</v>
      </c>
      <c r="B29" s="19">
        <v>0.89410000000000001</v>
      </c>
      <c r="C29" s="19">
        <v>0.93279999999999996</v>
      </c>
    </row>
    <row r="30" spans="1:3" x14ac:dyDescent="0.2">
      <c r="A30" s="19" t="s">
        <v>35</v>
      </c>
      <c r="B30" s="19">
        <v>0.99990000000000001</v>
      </c>
      <c r="C30" s="19">
        <v>1</v>
      </c>
    </row>
    <row r="31" spans="1:3" x14ac:dyDescent="0.2">
      <c r="A31" s="19" t="s">
        <v>31</v>
      </c>
      <c r="B31" s="19">
        <v>0.9788</v>
      </c>
      <c r="C31" s="19">
        <v>0.99860000000000004</v>
      </c>
    </row>
    <row r="32" spans="1:3" x14ac:dyDescent="0.2">
      <c r="A32" s="19" t="s">
        <v>225</v>
      </c>
      <c r="B32" s="19">
        <v>0.99950000000000006</v>
      </c>
      <c r="C32" s="19">
        <v>0.99970000000000003</v>
      </c>
    </row>
    <row r="33" spans="1:3" x14ac:dyDescent="0.2">
      <c r="A33" s="19" t="s">
        <v>226</v>
      </c>
      <c r="B33" s="19">
        <v>1E-4</v>
      </c>
      <c r="C33" s="19">
        <v>0</v>
      </c>
    </row>
    <row r="34" spans="1:3" x14ac:dyDescent="0.2">
      <c r="A34" s="19" t="s">
        <v>227</v>
      </c>
      <c r="B34" s="19">
        <v>2.12E-2</v>
      </c>
      <c r="C34" s="19">
        <v>1.4E-3</v>
      </c>
    </row>
    <row r="35" spans="1:3" x14ac:dyDescent="0.2">
      <c r="A35" s="19" t="s">
        <v>224</v>
      </c>
      <c r="B35" s="19">
        <v>0.10589999999999999</v>
      </c>
      <c r="C35" s="19">
        <v>6.7199999999999996E-2</v>
      </c>
    </row>
    <row r="36" spans="1:3" x14ac:dyDescent="0.2">
      <c r="A36" s="19" t="s">
        <v>32</v>
      </c>
      <c r="B36" s="19">
        <v>0.99950000000000006</v>
      </c>
      <c r="C36" s="19">
        <v>0.99970000000000003</v>
      </c>
    </row>
    <row r="37" spans="1:3" x14ac:dyDescent="0.2">
      <c r="A37" s="21" t="s">
        <v>228</v>
      </c>
      <c r="B37" s="21">
        <v>0.9345</v>
      </c>
      <c r="C37" s="21">
        <v>0.96460000000000001</v>
      </c>
    </row>
  </sheetData>
  <mergeCells count="15">
    <mergeCell ref="P11:Q11"/>
    <mergeCell ref="B3:C3"/>
    <mergeCell ref="B11:C11"/>
    <mergeCell ref="D11:E11"/>
    <mergeCell ref="D3:E3"/>
    <mergeCell ref="F3:G3"/>
    <mergeCell ref="H3:I3"/>
    <mergeCell ref="J3:K3"/>
    <mergeCell ref="F11:G11"/>
    <mergeCell ref="H11:I11"/>
    <mergeCell ref="J11:K11"/>
    <mergeCell ref="L11:M11"/>
    <mergeCell ref="N11:O11"/>
    <mergeCell ref="L3:M3"/>
    <mergeCell ref="N3:O3"/>
  </mergeCells>
  <phoneticPr fontId="1"/>
  <pageMargins left="0.7" right="0.7" top="0.75" bottom="0.75" header="0.3" footer="0.3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7"/>
  <sheetViews>
    <sheetView tabSelected="1" workbookViewId="0">
      <selection activeCell="B16" sqref="B16"/>
    </sheetView>
  </sheetViews>
  <sheetFormatPr defaultColWidth="8.88671875" defaultRowHeight="13.2" x14ac:dyDescent="0.2"/>
  <cols>
    <col min="1" max="1" width="22.88671875" customWidth="1"/>
  </cols>
  <sheetData>
    <row r="1" spans="1:15" x14ac:dyDescent="0.2">
      <c r="A1" s="18" t="s">
        <v>250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">
      <c r="A3" s="18" t="s">
        <v>104</v>
      </c>
      <c r="B3" s="52" t="s">
        <v>84</v>
      </c>
      <c r="C3" s="52"/>
      <c r="D3" s="52" t="s">
        <v>101</v>
      </c>
      <c r="E3" s="52"/>
      <c r="F3" s="52" t="s">
        <v>86</v>
      </c>
      <c r="G3" s="52"/>
      <c r="H3" s="52" t="s">
        <v>88</v>
      </c>
      <c r="I3" s="52"/>
      <c r="J3" s="52" t="s">
        <v>89</v>
      </c>
      <c r="K3" s="52"/>
      <c r="L3" s="52" t="s">
        <v>90</v>
      </c>
      <c r="M3" s="52"/>
      <c r="N3" s="18"/>
      <c r="O3" s="18"/>
    </row>
    <row r="4" spans="1:15" ht="15.6" x14ac:dyDescent="0.2">
      <c r="A4" s="18"/>
      <c r="B4" s="11" t="s">
        <v>7</v>
      </c>
      <c r="C4" s="11" t="s">
        <v>247</v>
      </c>
      <c r="D4" s="11" t="s">
        <v>7</v>
      </c>
      <c r="E4" s="47" t="s">
        <v>247</v>
      </c>
      <c r="F4" s="11" t="s">
        <v>7</v>
      </c>
      <c r="G4" s="47" t="s">
        <v>247</v>
      </c>
      <c r="H4" s="11" t="s">
        <v>7</v>
      </c>
      <c r="I4" s="47" t="s">
        <v>247</v>
      </c>
      <c r="J4" s="11" t="s">
        <v>7</v>
      </c>
      <c r="K4" s="47" t="s">
        <v>247</v>
      </c>
      <c r="L4" s="11" t="s">
        <v>7</v>
      </c>
      <c r="M4" s="47" t="s">
        <v>247</v>
      </c>
      <c r="N4" s="18"/>
      <c r="O4" s="18"/>
    </row>
    <row r="5" spans="1:15" x14ac:dyDescent="0.2">
      <c r="A5" s="8" t="s">
        <v>27</v>
      </c>
      <c r="B5" s="28">
        <v>11.08</v>
      </c>
      <c r="C5" s="28">
        <v>6.72</v>
      </c>
      <c r="D5" s="28">
        <v>10.93</v>
      </c>
      <c r="E5" s="28">
        <v>6.61</v>
      </c>
      <c r="F5" s="28">
        <v>10.74</v>
      </c>
      <c r="G5" s="28">
        <v>6.76</v>
      </c>
      <c r="H5" s="28">
        <v>11.1</v>
      </c>
      <c r="I5" s="28">
        <v>7.34</v>
      </c>
      <c r="J5" s="28">
        <v>11.27</v>
      </c>
      <c r="K5" s="28">
        <v>7.1</v>
      </c>
      <c r="L5" s="28">
        <v>11.06</v>
      </c>
      <c r="M5" s="28">
        <v>7.61</v>
      </c>
      <c r="N5" s="18"/>
      <c r="O5" s="18"/>
    </row>
    <row r="6" spans="1:15" x14ac:dyDescent="0.2">
      <c r="A6" s="19" t="s">
        <v>28</v>
      </c>
      <c r="B6" s="25">
        <v>1.9240569894779811</v>
      </c>
      <c r="C6" s="25">
        <v>1.2604155800249297</v>
      </c>
      <c r="D6" s="25">
        <v>1.85806846410279</v>
      </c>
      <c r="E6" s="25">
        <v>1.2158181977575666</v>
      </c>
      <c r="F6" s="25">
        <v>1.8518508066801216</v>
      </c>
      <c r="G6" s="25">
        <v>1.2656866241024209</v>
      </c>
      <c r="H6" s="25">
        <v>1.8620177777278657</v>
      </c>
      <c r="I6" s="25">
        <v>1.3347830053080676</v>
      </c>
      <c r="J6" s="25">
        <v>1.9023171277726929</v>
      </c>
      <c r="K6" s="25">
        <v>1.2941010570928457</v>
      </c>
      <c r="L6" s="25">
        <v>1.8991793441579208</v>
      </c>
      <c r="M6" s="25">
        <v>1.3718577559779277</v>
      </c>
      <c r="N6" s="18"/>
      <c r="O6" s="18"/>
    </row>
    <row r="7" spans="1:15" x14ac:dyDescent="0.2">
      <c r="A7" s="21" t="s">
        <v>223</v>
      </c>
      <c r="B7" s="26">
        <v>2.7424134319948492</v>
      </c>
      <c r="C7" s="26">
        <v>1.8085779530448938</v>
      </c>
      <c r="D7" s="26">
        <v>2.7730834684468038</v>
      </c>
      <c r="E7" s="26">
        <v>1.8604949369258328</v>
      </c>
      <c r="F7" s="26">
        <v>2.7355192281036591</v>
      </c>
      <c r="G7" s="26">
        <v>1.8500441293449656</v>
      </c>
      <c r="H7" s="26">
        <v>2.7961149854468634</v>
      </c>
      <c r="I7" s="26">
        <v>1.9473187232038738</v>
      </c>
      <c r="J7" s="26">
        <v>2.8001983140678597</v>
      </c>
      <c r="K7" s="26">
        <v>1.8299569581703794</v>
      </c>
      <c r="L7" s="26">
        <v>2.7912343214312916</v>
      </c>
      <c r="M7" s="26">
        <v>1.9637747802983854</v>
      </c>
      <c r="N7" s="18"/>
      <c r="O7" s="18"/>
    </row>
    <row r="8" spans="1:15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x14ac:dyDescent="0.2">
      <c r="A10" s="18" t="s">
        <v>103</v>
      </c>
      <c r="B10" s="52" t="s">
        <v>105</v>
      </c>
      <c r="C10" s="52"/>
      <c r="D10" s="52" t="s">
        <v>93</v>
      </c>
      <c r="E10" s="52"/>
      <c r="F10" s="52" t="s">
        <v>94</v>
      </c>
      <c r="G10" s="52"/>
      <c r="H10" s="52" t="s">
        <v>96</v>
      </c>
      <c r="I10" s="52"/>
      <c r="J10" s="52" t="s">
        <v>97</v>
      </c>
      <c r="K10" s="52"/>
      <c r="L10" s="52" t="s">
        <v>98</v>
      </c>
      <c r="M10" s="52"/>
      <c r="N10" s="52" t="s">
        <v>99</v>
      </c>
      <c r="O10" s="52"/>
    </row>
    <row r="11" spans="1:15" ht="15.6" x14ac:dyDescent="0.2">
      <c r="A11" s="18"/>
      <c r="B11" s="11" t="s">
        <v>7</v>
      </c>
      <c r="C11" s="47" t="s">
        <v>247</v>
      </c>
      <c r="D11" s="11" t="s">
        <v>7</v>
      </c>
      <c r="E11" s="47" t="s">
        <v>247</v>
      </c>
      <c r="F11" s="11" t="s">
        <v>7</v>
      </c>
      <c r="G11" s="47" t="s">
        <v>247</v>
      </c>
      <c r="H11" s="11" t="s">
        <v>7</v>
      </c>
      <c r="I11" s="47" t="s">
        <v>247</v>
      </c>
      <c r="J11" s="11" t="s">
        <v>7</v>
      </c>
      <c r="K11" s="47" t="s">
        <v>247</v>
      </c>
      <c r="L11" s="11" t="s">
        <v>7</v>
      </c>
      <c r="M11" s="47" t="s">
        <v>247</v>
      </c>
      <c r="N11" s="11" t="s">
        <v>7</v>
      </c>
      <c r="O11" s="47" t="s">
        <v>247</v>
      </c>
    </row>
    <row r="12" spans="1:15" s="18" customFormat="1" x14ac:dyDescent="0.2">
      <c r="A12" s="8" t="s">
        <v>27</v>
      </c>
      <c r="B12" s="28">
        <v>11.14</v>
      </c>
      <c r="C12" s="28">
        <v>6.81</v>
      </c>
      <c r="D12" s="28">
        <v>11.540000000000001</v>
      </c>
      <c r="E12" s="28">
        <v>7.17</v>
      </c>
      <c r="F12" s="28">
        <v>11.52</v>
      </c>
      <c r="G12" s="28">
        <v>7.98</v>
      </c>
      <c r="H12" s="28">
        <v>11.28</v>
      </c>
      <c r="I12" s="28">
        <v>7.34</v>
      </c>
      <c r="J12" s="28">
        <v>11.62</v>
      </c>
      <c r="K12" s="28">
        <v>7.98</v>
      </c>
      <c r="L12" s="28">
        <v>11.48</v>
      </c>
      <c r="M12" s="28">
        <v>6.82</v>
      </c>
      <c r="N12" s="28">
        <v>11.59</v>
      </c>
      <c r="O12" s="28">
        <v>7.19</v>
      </c>
    </row>
    <row r="13" spans="1:15" s="18" customFormat="1" x14ac:dyDescent="0.2">
      <c r="A13" s="19" t="s">
        <v>28</v>
      </c>
      <c r="B13" s="25">
        <v>2.0179526603116069</v>
      </c>
      <c r="C13" s="25">
        <v>1.3100176774445365</v>
      </c>
      <c r="D13" s="25">
        <v>2.0115489483667521</v>
      </c>
      <c r="E13" s="25">
        <v>1.3664702465712359</v>
      </c>
      <c r="F13" s="25">
        <v>2.0311566758675488</v>
      </c>
      <c r="G13" s="25">
        <v>1.4943253014646161</v>
      </c>
      <c r="H13" s="25">
        <v>1.9872143093931784</v>
      </c>
      <c r="I13" s="25">
        <v>1.3913148987479684</v>
      </c>
      <c r="J13" s="25">
        <v>2.0296999089865673</v>
      </c>
      <c r="K13" s="25">
        <v>1.5229412347636508</v>
      </c>
      <c r="L13" s="25">
        <v>1.9536996607174186</v>
      </c>
      <c r="M13" s="25">
        <v>1.2573287371520339</v>
      </c>
      <c r="N13" s="25">
        <v>1.9863446257833139</v>
      </c>
      <c r="O13" s="25">
        <v>1.3160022912528784</v>
      </c>
    </row>
    <row r="14" spans="1:15" s="18" customFormat="1" x14ac:dyDescent="0.2">
      <c r="A14" s="21" t="s">
        <v>223</v>
      </c>
      <c r="B14" s="26">
        <v>2.7960929108546062</v>
      </c>
      <c r="C14" s="26">
        <v>1.859411275504957</v>
      </c>
      <c r="D14" s="26">
        <v>2.8148096208101645</v>
      </c>
      <c r="E14" s="26">
        <v>1.8431949336730868</v>
      </c>
      <c r="F14" s="26">
        <v>2.7903910626978936</v>
      </c>
      <c r="G14" s="26">
        <v>1.9193586644272949</v>
      </c>
      <c r="H14" s="26">
        <v>2.8516299357940849</v>
      </c>
      <c r="I14" s="26">
        <v>1.9223266775700187</v>
      </c>
      <c r="J14" s="26">
        <v>2.8485709944436972</v>
      </c>
      <c r="K14" s="26">
        <v>1.9476761470617381</v>
      </c>
      <c r="L14" s="26">
        <v>2.7678567283759192</v>
      </c>
      <c r="M14" s="26">
        <v>1.8338609462142708</v>
      </c>
      <c r="N14" s="26">
        <v>2.8482875388897657</v>
      </c>
      <c r="O14" s="26">
        <v>1.7711922228785881</v>
      </c>
    </row>
    <row r="16" spans="1:15" ht="14.25" customHeight="1" x14ac:dyDescent="0.2"/>
    <row r="17" spans="2:3" x14ac:dyDescent="0.2">
      <c r="B17" s="29"/>
      <c r="C17" s="29"/>
    </row>
  </sheetData>
  <mergeCells count="13">
    <mergeCell ref="N10:O10"/>
    <mergeCell ref="L3:M3"/>
    <mergeCell ref="B10:C10"/>
    <mergeCell ref="D10:E10"/>
    <mergeCell ref="F10:G10"/>
    <mergeCell ref="H10:I10"/>
    <mergeCell ref="J10:K10"/>
    <mergeCell ref="L10:M10"/>
    <mergeCell ref="B3:C3"/>
    <mergeCell ref="D3:E3"/>
    <mergeCell ref="F3:G3"/>
    <mergeCell ref="H3:I3"/>
    <mergeCell ref="J3:K3"/>
  </mergeCells>
  <phoneticPr fontId="1"/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TableS1</vt:lpstr>
      <vt:lpstr>TableS2</vt:lpstr>
      <vt:lpstr>Table S3</vt:lpstr>
      <vt:lpstr>Table S4</vt:lpstr>
      <vt:lpstr>Table S5</vt:lpstr>
      <vt:lpstr>'Table S4'!Print_Area</vt:lpstr>
      <vt:lpstr>'Table S5'!Print_Area</vt:lpstr>
      <vt:lpstr>TableS1!Print_Area</vt:lpstr>
      <vt:lpstr>TableS2!Print_Area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Atsushi Kondo</cp:lastModifiedBy>
  <cp:lastPrinted>2018-06-28T10:53:30Z</cp:lastPrinted>
  <dcterms:created xsi:type="dcterms:W3CDTF">2018-06-13T15:13:41Z</dcterms:created>
  <dcterms:modified xsi:type="dcterms:W3CDTF">2018-09-26T07:52:47Z</dcterms:modified>
</cp:coreProperties>
</file>